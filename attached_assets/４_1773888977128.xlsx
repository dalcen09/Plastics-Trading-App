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13_ncr:1_{43F93AE6-C846-4237-B2A9-0E7AEDAC36ED}" xr6:coauthVersionLast="47" xr6:coauthVersionMax="47" xr10:uidLastSave="{00000000-0000-0000-0000-000000000000}"/>
  <bookViews>
    <workbookView xWindow="-108" yWindow="-108" windowWidth="23256" windowHeight="12456" xr2:uid="{1CCD7328-711E-4CB3-8821-940405400B10}"/>
  </bookViews>
  <sheets>
    <sheet name="再生リサイクル需要" sheetId="2" r:id="rId1"/>
  </sheets>
  <definedNames>
    <definedName name="_xlnm._FilterDatabase" localSheetId="0" hidden="1">再生リサイクル需要!$A$1:$AO$109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" i="2" l="1"/>
  <c r="O85" i="2"/>
  <c r="O84" i="2"/>
  <c r="O80" i="2"/>
  <c r="O78" i="2"/>
  <c r="O72" i="2"/>
  <c r="O66" i="2"/>
  <c r="O60" i="2"/>
  <c r="O56" i="2"/>
  <c r="O55" i="2"/>
  <c r="O49" i="2"/>
  <c r="O47" i="2"/>
  <c r="O41" i="2"/>
  <c r="O39" i="2"/>
  <c r="O36" i="2"/>
  <c r="O32" i="2"/>
  <c r="O31" i="2"/>
  <c r="O30" i="2"/>
  <c r="O29" i="2"/>
  <c r="O28" i="2"/>
  <c r="O25" i="2"/>
  <c r="O22" i="2"/>
  <c r="O20" i="2"/>
  <c r="O19" i="2"/>
  <c r="O18" i="2"/>
  <c r="O16" i="2"/>
  <c r="O15" i="2"/>
  <c r="O14" i="2"/>
  <c r="O13" i="2"/>
  <c r="O11" i="2"/>
  <c r="O10" i="2"/>
  <c r="O5" i="2"/>
  <c r="O4" i="2"/>
  <c r="O3" i="2"/>
  <c r="N86" i="2"/>
  <c r="N85" i="2"/>
  <c r="N84" i="2"/>
  <c r="N80" i="2"/>
  <c r="N78" i="2"/>
  <c r="N72" i="2"/>
  <c r="N66" i="2"/>
  <c r="N60" i="2"/>
  <c r="N56" i="2"/>
  <c r="N55" i="2"/>
  <c r="N49" i="2"/>
  <c r="N47" i="2"/>
  <c r="N41" i="2"/>
  <c r="N39" i="2"/>
  <c r="N36" i="2"/>
  <c r="N32" i="2"/>
  <c r="N31" i="2"/>
  <c r="N30" i="2"/>
  <c r="N29" i="2"/>
  <c r="N28" i="2"/>
  <c r="N25" i="2"/>
  <c r="N22" i="2"/>
  <c r="N20" i="2"/>
  <c r="N19" i="2"/>
  <c r="N18" i="2"/>
  <c r="N16" i="2"/>
  <c r="N15" i="2"/>
  <c r="N14" i="2"/>
  <c r="N13" i="2"/>
  <c r="N11" i="2"/>
  <c r="N10" i="2"/>
  <c r="N5" i="2"/>
  <c r="N4" i="2"/>
  <c r="N3" i="2"/>
</calcChain>
</file>

<file path=xl/sharedStrings.xml><?xml version="1.0" encoding="utf-8"?>
<sst xmlns="http://schemas.openxmlformats.org/spreadsheetml/2006/main" count="1205" uniqueCount="428">
  <si>
    <t>番号</t>
    <rPh sb="0" eb="2">
      <t>バンゴウ</t>
    </rPh>
    <phoneticPr fontId="3"/>
  </si>
  <si>
    <t>日付</t>
  </si>
  <si>
    <t>PP</t>
    <phoneticPr fontId="3"/>
  </si>
  <si>
    <t>ﾌﾞﾛｯｸ</t>
    <phoneticPr fontId="3"/>
  </si>
  <si>
    <t>本田</t>
    <rPh sb="0" eb="2">
      <t>ホンダ</t>
    </rPh>
    <phoneticPr fontId="3"/>
  </si>
  <si>
    <t>林</t>
  </si>
  <si>
    <t>フレコン</t>
  </si>
  <si>
    <t>澤田</t>
  </si>
  <si>
    <t>PP</t>
  </si>
  <si>
    <t>ホモ</t>
  </si>
  <si>
    <t>要相談</t>
  </si>
  <si>
    <t>丸久化学㈱</t>
    <rPh sb="0" eb="2">
      <t>マルキュウ</t>
    </rPh>
    <rPh sb="2" eb="4">
      <t>カガク</t>
    </rPh>
    <phoneticPr fontId="3"/>
  </si>
  <si>
    <t>澤橋</t>
  </si>
  <si>
    <t>ﾗﾝﾀﾞﾑ</t>
  </si>
  <si>
    <t>PC</t>
  </si>
  <si>
    <t>福井</t>
  </si>
  <si>
    <t>成和商事</t>
  </si>
  <si>
    <t>ﾗﾝﾀﾞﾑ</t>
    <phoneticPr fontId="3"/>
  </si>
  <si>
    <t>未定</t>
  </si>
  <si>
    <t>㈱中部日本プラスチック</t>
  </si>
  <si>
    <t>ブロック</t>
  </si>
  <si>
    <t>楓原</t>
  </si>
  <si>
    <t>ランダム</t>
  </si>
  <si>
    <t>ABS</t>
    <phoneticPr fontId="3"/>
  </si>
  <si>
    <t>越前</t>
  </si>
  <si>
    <t>ホモ</t>
    <phoneticPr fontId="3"/>
  </si>
  <si>
    <t>PE</t>
    <phoneticPr fontId="3"/>
  </si>
  <si>
    <t>オー・ジー㈱</t>
  </si>
  <si>
    <t>フレコン</t>
    <phoneticPr fontId="3"/>
  </si>
  <si>
    <t>ABS</t>
  </si>
  <si>
    <t>テクト㈱</t>
  </si>
  <si>
    <t>浮谷</t>
  </si>
  <si>
    <t>ナチュラル</t>
  </si>
  <si>
    <t>ランダム</t>
    <phoneticPr fontId="3"/>
  </si>
  <si>
    <t>ブロック</t>
    <phoneticPr fontId="3"/>
  </si>
  <si>
    <t>昭プラ</t>
  </si>
  <si>
    <t>担当</t>
    <rPh sb="0" eb="2">
      <t>タントウ</t>
    </rPh>
    <phoneticPr fontId="3"/>
  </si>
  <si>
    <t>樹脂</t>
    <rPh sb="0" eb="2">
      <t>ジュシ</t>
    </rPh>
    <phoneticPr fontId="3"/>
  </si>
  <si>
    <t>ｻﾝﾌﾟﾙ</t>
    <phoneticPr fontId="3"/>
  </si>
  <si>
    <t>備考</t>
    <rPh sb="0" eb="2">
      <t>ビコウ</t>
    </rPh>
    <phoneticPr fontId="3"/>
  </si>
  <si>
    <t>ｱｲｿﾞｯﾄﾞ</t>
    <phoneticPr fontId="3"/>
  </si>
  <si>
    <t>比重</t>
    <rPh sb="0" eb="2">
      <t>ヒジュウ</t>
    </rPh>
    <phoneticPr fontId="3"/>
  </si>
  <si>
    <t>要</t>
    <rPh sb="0" eb="1">
      <t>ヨウ</t>
    </rPh>
    <phoneticPr fontId="3"/>
  </si>
  <si>
    <t>10以上</t>
    <rPh sb="2" eb="4">
      <t>イジョウ</t>
    </rPh>
    <phoneticPr fontId="3"/>
  </si>
  <si>
    <t>泰政興業</t>
  </si>
  <si>
    <t>要</t>
  </si>
  <si>
    <t>林化成㈱</t>
  </si>
  <si>
    <t>不問</t>
  </si>
  <si>
    <t>不問</t>
    <phoneticPr fontId="3"/>
  </si>
  <si>
    <t>ｴｰﾋﾟｰ産業㈱</t>
  </si>
  <si>
    <t>20前後</t>
    <rPh sb="2" eb="4">
      <t>ゼンゴ</t>
    </rPh>
    <phoneticPr fontId="3"/>
  </si>
  <si>
    <t>ﾄﾐｰ化学</t>
  </si>
  <si>
    <t>早川商事㈱</t>
  </si>
  <si>
    <t>原馳化工合同会社</t>
  </si>
  <si>
    <t>リン</t>
  </si>
  <si>
    <t>25トン以上</t>
  </si>
  <si>
    <t>関西化学工業㈱</t>
    <rPh sb="0" eb="2">
      <t>カンサイ</t>
    </rPh>
    <rPh sb="2" eb="4">
      <t>カガク</t>
    </rPh>
    <rPh sb="4" eb="6">
      <t>コウギョウ</t>
    </rPh>
    <phoneticPr fontId="3"/>
  </si>
  <si>
    <t>0.3～0.7</t>
  </si>
  <si>
    <t>20～30</t>
  </si>
  <si>
    <t>色目</t>
    <rPh sb="0" eb="2">
      <t>イロメ</t>
    </rPh>
    <phoneticPr fontId="3"/>
  </si>
  <si>
    <t>形状</t>
    <rPh sb="0" eb="2">
      <t>ケイジョウ</t>
    </rPh>
    <phoneticPr fontId="3"/>
  </si>
  <si>
    <t>由来</t>
    <rPh sb="0" eb="2">
      <t>ユライ</t>
    </rPh>
    <phoneticPr fontId="3"/>
  </si>
  <si>
    <t>RoHS</t>
    <phoneticPr fontId="3"/>
  </si>
  <si>
    <t>ﾒｯｼｭ</t>
    <phoneticPr fontId="3"/>
  </si>
  <si>
    <t>ペレット</t>
    <phoneticPr fontId="3"/>
  </si>
  <si>
    <t>フィルム</t>
    <phoneticPr fontId="3"/>
  </si>
  <si>
    <t>黒</t>
    <rPh sb="0" eb="1">
      <t>クロ</t>
    </rPh>
    <phoneticPr fontId="3"/>
  </si>
  <si>
    <t>粉砕</t>
    <rPh sb="0" eb="2">
      <t>フンサイ</t>
    </rPh>
    <phoneticPr fontId="3"/>
  </si>
  <si>
    <t>白</t>
    <rPh sb="0" eb="1">
      <t>シロ</t>
    </rPh>
    <phoneticPr fontId="3"/>
  </si>
  <si>
    <t>黒</t>
  </si>
  <si>
    <t>粉砕</t>
  </si>
  <si>
    <t>日立産機システム</t>
  </si>
  <si>
    <t>不織布</t>
  </si>
  <si>
    <t>POM</t>
  </si>
  <si>
    <t>20ｔ/月</t>
  </si>
  <si>
    <t>白</t>
  </si>
  <si>
    <t>PE</t>
  </si>
  <si>
    <t>13t/月</t>
  </si>
  <si>
    <t>10t/月</t>
  </si>
  <si>
    <t>浅野物産㈱</t>
  </si>
  <si>
    <t>PBT</t>
  </si>
  <si>
    <t>PC/ABS</t>
  </si>
  <si>
    <t>5t/月</t>
  </si>
  <si>
    <t>5ton/月</t>
  </si>
  <si>
    <t>100トン/月</t>
    <rPh sb="6" eb="7">
      <t>ツキ</t>
    </rPh>
    <phoneticPr fontId="3"/>
  </si>
  <si>
    <t>石塚</t>
  </si>
  <si>
    <t>PC</t>
    <phoneticPr fontId="3"/>
  </si>
  <si>
    <t>5～10t/月</t>
  </si>
  <si>
    <t>30前後</t>
    <rPh sb="2" eb="4">
      <t>ゼンゴ</t>
    </rPh>
    <phoneticPr fontId="3"/>
  </si>
  <si>
    <t>黒</t>
    <phoneticPr fontId="3"/>
  </si>
  <si>
    <t>リプラス</t>
    <phoneticPr fontId="3"/>
  </si>
  <si>
    <t>50t/月</t>
  </si>
  <si>
    <t>30t/月</t>
  </si>
  <si>
    <t>鳥居化成㈱</t>
  </si>
  <si>
    <t>広和通商</t>
    <rPh sb="0" eb="2">
      <t>コウワ</t>
    </rPh>
    <rPh sb="2" eb="4">
      <t>ツウショウ</t>
    </rPh>
    <phoneticPr fontId="3"/>
  </si>
  <si>
    <t>パイプ</t>
    <phoneticPr fontId="3"/>
  </si>
  <si>
    <t>日栄商事㈱</t>
    <rPh sb="0" eb="2">
      <t>ニチエイ</t>
    </rPh>
    <rPh sb="2" eb="4">
      <t>ショウジ</t>
    </rPh>
    <phoneticPr fontId="3"/>
  </si>
  <si>
    <t>10トン</t>
    <phoneticPr fontId="3"/>
  </si>
  <si>
    <t>㈱星翔</t>
  </si>
  <si>
    <t>PSP</t>
  </si>
  <si>
    <t>5ｔ/月</t>
  </si>
  <si>
    <t>1t</t>
  </si>
  <si>
    <t>コア</t>
    <phoneticPr fontId="3"/>
  </si>
  <si>
    <t>食品シート</t>
    <rPh sb="0" eb="2">
      <t>ショクヒン</t>
    </rPh>
    <phoneticPr fontId="3"/>
  </si>
  <si>
    <t>ブロー</t>
  </si>
  <si>
    <t>昭和興産</t>
  </si>
  <si>
    <t>ﾀｲﾌﾟ</t>
    <phoneticPr fontId="3"/>
  </si>
  <si>
    <t>三乗工業㈱</t>
    <rPh sb="0" eb="1">
      <t>ミ</t>
    </rPh>
    <rPh sb="1" eb="2">
      <t>ノ</t>
    </rPh>
    <rPh sb="2" eb="4">
      <t>コウギョウ</t>
    </rPh>
    <phoneticPr fontId="3"/>
  </si>
  <si>
    <t>1～3</t>
    <phoneticPr fontId="3"/>
  </si>
  <si>
    <t>岡山県</t>
    <rPh sb="0" eb="3">
      <t>オカヤマケン</t>
    </rPh>
    <phoneticPr fontId="3"/>
  </si>
  <si>
    <t>13～26t/月</t>
    <rPh sb="7" eb="8">
      <t>ツキ</t>
    </rPh>
    <phoneticPr fontId="3"/>
  </si>
  <si>
    <t>積水テクノ成型㈱</t>
  </si>
  <si>
    <t>愛知or栃木
@170～180</t>
    <phoneticPr fontId="3"/>
  </si>
  <si>
    <t>6t程度/月</t>
  </si>
  <si>
    <t>6以上</t>
  </si>
  <si>
    <t>㈱島田商会</t>
    <rPh sb="1" eb="3">
      <t>シマダ</t>
    </rPh>
    <rPh sb="3" eb="5">
      <t>ショウカイ</t>
    </rPh>
    <phoneticPr fontId="3"/>
  </si>
  <si>
    <t>押出用</t>
    <rPh sb="0" eb="2">
      <t>オシダシ</t>
    </rPh>
    <rPh sb="2" eb="3">
      <t>ヨウ</t>
    </rPh>
    <phoneticPr fontId="3"/>
  </si>
  <si>
    <t>1～5t/月</t>
    <rPh sb="5" eb="6">
      <t>ツキ</t>
    </rPh>
    <phoneticPr fontId="3"/>
  </si>
  <si>
    <t>射出用</t>
  </si>
  <si>
    <t>7前後</t>
  </si>
  <si>
    <t>2t/年</t>
  </si>
  <si>
    <t>0.2～0.4</t>
  </si>
  <si>
    <t>三重置場＠130</t>
  </si>
  <si>
    <t>1種類グレード品</t>
    <phoneticPr fontId="3"/>
  </si>
  <si>
    <t>2～5</t>
  </si>
  <si>
    <t>山梨置場＠100</t>
  </si>
  <si>
    <t>㈱ｽﾘｰﾗｯｸｽ</t>
    <phoneticPr fontId="3"/>
  </si>
  <si>
    <t>PA6</t>
    <phoneticPr fontId="3"/>
  </si>
  <si>
    <t>難燃、GF30</t>
    <rPh sb="0" eb="2">
      <t>ナンネン</t>
    </rPh>
    <phoneticPr fontId="3"/>
  </si>
  <si>
    <t>3~4t/月</t>
    <rPh sb="5" eb="6">
      <t>ツキ</t>
    </rPh>
    <phoneticPr fontId="3"/>
  </si>
  <si>
    <t>0.25～0.4</t>
  </si>
  <si>
    <t>大阪置場＠150前後</t>
  </si>
  <si>
    <t>0.4～0.6（1以下でも検討可能）</t>
  </si>
  <si>
    <t>10t/月（定期であれば数量は要相可）</t>
  </si>
  <si>
    <t>出光ﾘﾃｰﾙ販売㈱（ﾀｷﾛﾝｼｰｱｲｼﾋﾞﾙ）</t>
  </si>
  <si>
    <t>農業用集排水管向け</t>
  </si>
  <si>
    <t>北海道着　現行200円/kg台</t>
  </si>
  <si>
    <t>32～50t/月</t>
  </si>
  <si>
    <t>0.02～0.04</t>
  </si>
  <si>
    <t>ﾌﾟﾗｽﾁｯｸﾈｯﾄ（水産）向け</t>
  </si>
  <si>
    <t>北海道着　現行201円/kg台</t>
  </si>
  <si>
    <t>1.0位</t>
  </si>
  <si>
    <t>合成木材ｺﾝﾊﾟｳﾝﾄﾞ用</t>
  </si>
  <si>
    <t>10～13t/月</t>
  </si>
  <si>
    <t>積水樹脂</t>
  </si>
  <si>
    <t>1～2前後</t>
  </si>
  <si>
    <t>6ｔ/月</t>
  </si>
  <si>
    <t>7ｔ/月</t>
  </si>
  <si>
    <t>8ｔ/月</t>
  </si>
  <si>
    <t>愛知県額田郡</t>
    <phoneticPr fontId="3"/>
  </si>
  <si>
    <t>4t/月</t>
    <rPh sb="3" eb="4">
      <t>ツキ</t>
    </rPh>
    <phoneticPr fontId="3"/>
  </si>
  <si>
    <t>出光リテール販売㈱（清水製作所）</t>
  </si>
  <si>
    <t>3～5希望</t>
  </si>
  <si>
    <t>山梨送り 105円程度</t>
  </si>
  <si>
    <t>16t/月</t>
  </si>
  <si>
    <t>40以上（目安）</t>
  </si>
  <si>
    <t>末端@120以下希望</t>
  </si>
  <si>
    <t>注射器など</t>
    <rPh sb="0" eb="3">
      <t>チュウシャキ</t>
    </rPh>
    <phoneticPr fontId="3"/>
  </si>
  <si>
    <t>西野金陵</t>
    <rPh sb="0" eb="2">
      <t>ニシノ</t>
    </rPh>
    <rPh sb="2" eb="4">
      <t>キンリョウ</t>
    </rPh>
    <phoneticPr fontId="3"/>
  </si>
  <si>
    <t>20～30</t>
    <phoneticPr fontId="3"/>
  </si>
  <si>
    <t>埼玉深谷市＠180</t>
    <rPh sb="0" eb="2">
      <t>サイタマ</t>
    </rPh>
    <rPh sb="2" eb="5">
      <t>フカヤシ</t>
    </rPh>
    <phoneticPr fontId="3"/>
  </si>
  <si>
    <t>1~2t/月</t>
    <rPh sb="5" eb="6">
      <t>ツキ</t>
    </rPh>
    <phoneticPr fontId="3"/>
  </si>
  <si>
    <t>埼玉ﾌﾟﾗｽﾁｯｸ㈱向け</t>
    <rPh sb="0" eb="2">
      <t>サイタマ</t>
    </rPh>
    <rPh sb="10" eb="11">
      <t>ム</t>
    </rPh>
    <phoneticPr fontId="3"/>
  </si>
  <si>
    <t>0.3以下</t>
    <rPh sb="3" eb="5">
      <t>イカ</t>
    </rPh>
    <phoneticPr fontId="3"/>
  </si>
  <si>
    <t>デンカのパイプ向け、灰分低め希望</t>
    <rPh sb="7" eb="8">
      <t>ム</t>
    </rPh>
    <rPh sb="10" eb="12">
      <t>カイブン</t>
    </rPh>
    <rPh sb="12" eb="13">
      <t>ヒク</t>
    </rPh>
    <rPh sb="14" eb="16">
      <t>キボウ</t>
    </rPh>
    <phoneticPr fontId="3"/>
  </si>
  <si>
    <t>栃木＠60</t>
    <rPh sb="0" eb="2">
      <t>トチギ</t>
    </rPh>
    <phoneticPr fontId="3"/>
  </si>
  <si>
    <t>東源㈱</t>
  </si>
  <si>
    <t>ﾎﾓ</t>
  </si>
  <si>
    <t>20～40</t>
  </si>
  <si>
    <t>名古屋渡し140円</t>
  </si>
  <si>
    <t>12～13</t>
  </si>
  <si>
    <t>埼玉渡し85円</t>
  </si>
  <si>
    <t>毎月定期（数量は相談可）</t>
  </si>
  <si>
    <t>埼玉渡し110円</t>
  </si>
  <si>
    <t>15～</t>
  </si>
  <si>
    <t>埼玉渡し130</t>
  </si>
  <si>
    <t>三晃物産</t>
  </si>
  <si>
    <t>13トン</t>
  </si>
  <si>
    <t>協和ACI</t>
    <rPh sb="0" eb="5">
      <t>キョウワアシ</t>
    </rPh>
    <phoneticPr fontId="3"/>
  </si>
  <si>
    <t>250トン</t>
    <phoneticPr fontId="3"/>
  </si>
  <si>
    <t>インド向け、再生Nであれば物性問わず。</t>
    <rPh sb="3" eb="4">
      <t>ム</t>
    </rPh>
    <rPh sb="6" eb="8">
      <t>サイセイ</t>
    </rPh>
    <rPh sb="13" eb="15">
      <t>ブッセイ</t>
    </rPh>
    <rPh sb="15" eb="16">
      <t>ト</t>
    </rPh>
    <phoneticPr fontId="3"/>
  </si>
  <si>
    <t>武藤化成工業所</t>
  </si>
  <si>
    <t>㈱K＆M</t>
  </si>
  <si>
    <t>0.1～0.2</t>
  </si>
  <si>
    <t>滋賀渡し150円</t>
  </si>
  <si>
    <t>5~10t</t>
  </si>
  <si>
    <t>8以上</t>
  </si>
  <si>
    <t>家電向け。輸出案件。</t>
  </si>
  <si>
    <t>(株)和円商事</t>
  </si>
  <si>
    <t>0.8～1.3</t>
  </si>
  <si>
    <t>静岡置場115円</t>
  </si>
  <si>
    <t>20～30ｔ/月</t>
  </si>
  <si>
    <t>押出系</t>
  </si>
  <si>
    <t>群馬置場250円前後</t>
  </si>
  <si>
    <t>群馬置場160円前後</t>
  </si>
  <si>
    <t>13ｔ/3ヶ月</t>
  </si>
  <si>
    <t>関東置場150円前後</t>
  </si>
  <si>
    <t>3~4t/月</t>
  </si>
  <si>
    <t>昭光通商㈱ 田川氏</t>
  </si>
  <si>
    <t>MFR:20±2</t>
  </si>
  <si>
    <t>㈲ウチダプラスチック</t>
  </si>
  <si>
    <t>1ton/月</t>
  </si>
  <si>
    <t>西野金陵㈱</t>
    <rPh sb="0" eb="2">
      <t>ニシノ</t>
    </rPh>
    <rPh sb="2" eb="4">
      <t>キンリョウ</t>
    </rPh>
    <phoneticPr fontId="3"/>
  </si>
  <si>
    <t>0.3くらい</t>
    <phoneticPr fontId="3"/>
  </si>
  <si>
    <t>茨城県下妻市納め</t>
    <rPh sb="0" eb="3">
      <t>イバラキケン</t>
    </rPh>
    <rPh sb="3" eb="5">
      <t>シモヅマ</t>
    </rPh>
    <rPh sb="5" eb="6">
      <t>シ</t>
    </rPh>
    <rPh sb="6" eb="7">
      <t>オサ</t>
    </rPh>
    <phoneticPr fontId="3"/>
  </si>
  <si>
    <t>500kg/回</t>
    <rPh sb="6" eb="7">
      <t>カイ</t>
    </rPh>
    <phoneticPr fontId="3"/>
  </si>
  <si>
    <t>山梨県笛吹市納め＠120~140</t>
    <rPh sb="0" eb="3">
      <t>ヤマナシケン</t>
    </rPh>
    <rPh sb="3" eb="6">
      <t>フエフキシ</t>
    </rPh>
    <rPh sb="6" eb="7">
      <t>オサ</t>
    </rPh>
    <phoneticPr fontId="3"/>
  </si>
  <si>
    <t>10～15t/月</t>
    <rPh sb="7" eb="8">
      <t>ツキ</t>
    </rPh>
    <phoneticPr fontId="3"/>
  </si>
  <si>
    <t>用途はメディアケース</t>
    <rPh sb="0" eb="2">
      <t>ヨウト</t>
    </rPh>
    <phoneticPr fontId="3"/>
  </si>
  <si>
    <t>コニシ（株）</t>
  </si>
  <si>
    <t>15～20</t>
  </si>
  <si>
    <t>回答期限、9/13迄</t>
  </si>
  <si>
    <t>ぺんてるケミカル㈱</t>
  </si>
  <si>
    <t>2t/月</t>
  </si>
  <si>
    <t>セイキ工業㈱</t>
  </si>
  <si>
    <t>0.2～0.3</t>
  </si>
  <si>
    <t>ワイコム㈱</t>
  </si>
  <si>
    <t>0.1~0.05</t>
  </si>
  <si>
    <t>関東納め@70~80くらい</t>
  </si>
  <si>
    <t>トヨタカ</t>
    <phoneticPr fontId="3"/>
  </si>
  <si>
    <t>20~30前後</t>
    <rPh sb="5" eb="7">
      <t>ゼンゴ</t>
    </rPh>
    <phoneticPr fontId="3"/>
  </si>
  <si>
    <t>福島県田村市</t>
    <rPh sb="0" eb="3">
      <t>フクシマケン</t>
    </rPh>
    <rPh sb="3" eb="6">
      <t>タムラシ</t>
    </rPh>
    <phoneticPr fontId="3"/>
  </si>
  <si>
    <t>10~13t</t>
    <phoneticPr fontId="3"/>
  </si>
  <si>
    <t>グローブライド向け、備考：耐光、帯電防止 / 希望色は白ですが物性優先で探しております。</t>
    <rPh sb="7" eb="8">
      <t>ム</t>
    </rPh>
    <phoneticPr fontId="3"/>
  </si>
  <si>
    <t>白</t>
    <phoneticPr fontId="3"/>
  </si>
  <si>
    <t>不織布</t>
    <phoneticPr fontId="3"/>
  </si>
  <si>
    <t>㈱三星合成</t>
  </si>
  <si>
    <t>ニックス㈱</t>
    <phoneticPr fontId="3"/>
  </si>
  <si>
    <t>10～20</t>
    <phoneticPr fontId="3"/>
  </si>
  <si>
    <t>三重県伊賀市</t>
    <rPh sb="0" eb="3">
      <t>ミエケン</t>
    </rPh>
    <rPh sb="3" eb="5">
      <t>イガ</t>
    </rPh>
    <rPh sb="5" eb="6">
      <t>シ</t>
    </rPh>
    <phoneticPr fontId="3"/>
  </si>
  <si>
    <t>5Ｔ</t>
    <phoneticPr fontId="3"/>
  </si>
  <si>
    <t>ぺんてる㈱</t>
  </si>
  <si>
    <t>1～2t/つき</t>
  </si>
  <si>
    <t>小池産業㈱</t>
  </si>
  <si>
    <t>30前後</t>
  </si>
  <si>
    <t>𠮷川国工業提案用</t>
  </si>
  <si>
    <t>3以下</t>
    <rPh sb="1" eb="3">
      <t>イカ</t>
    </rPh>
    <phoneticPr fontId="3"/>
  </si>
  <si>
    <t>できればフィルム</t>
  </si>
  <si>
    <t>0.04～0.1</t>
  </si>
  <si>
    <t>高六商事㈱</t>
    <rPh sb="0" eb="4">
      <t>タカロクショウジ</t>
    </rPh>
    <phoneticPr fontId="3"/>
  </si>
  <si>
    <t>射出ｸﾞﾚｰﾄﾞ</t>
    <rPh sb="0" eb="2">
      <t>シャシュツ</t>
    </rPh>
    <phoneticPr fontId="3"/>
  </si>
  <si>
    <t>関西方面</t>
    <rPh sb="0" eb="2">
      <t>カンサイ</t>
    </rPh>
    <rPh sb="2" eb="4">
      <t>ホウメン</t>
    </rPh>
    <phoneticPr fontId="3"/>
  </si>
  <si>
    <t>4,000～10,000kg/月</t>
    <phoneticPr fontId="3"/>
  </si>
  <si>
    <t>キョーセー㈱</t>
  </si>
  <si>
    <t>押出グレード</t>
  </si>
  <si>
    <t>4000㎏/月</t>
  </si>
  <si>
    <t>日新工業㈱</t>
    <rPh sb="0" eb="2">
      <t>ニッシン</t>
    </rPh>
    <rPh sb="2" eb="4">
      <t>コウギョウ</t>
    </rPh>
    <phoneticPr fontId="3"/>
  </si>
  <si>
    <t>八街市＠55/80</t>
    <rPh sb="0" eb="3">
      <t>ヤチマタシ</t>
    </rPh>
    <phoneticPr fontId="3"/>
  </si>
  <si>
    <t>13,000kg/月</t>
    <rPh sb="9" eb="10">
      <t>ツキ</t>
    </rPh>
    <phoneticPr fontId="3"/>
  </si>
  <si>
    <t>PVC</t>
    <phoneticPr fontId="3"/>
  </si>
  <si>
    <t>医療用チューブ</t>
    <rPh sb="0" eb="3">
      <t>イリョウヨウ</t>
    </rPh>
    <phoneticPr fontId="3"/>
  </si>
  <si>
    <t>4～7</t>
  </si>
  <si>
    <t>岡山置場70円台</t>
  </si>
  <si>
    <t>30000kg/月</t>
  </si>
  <si>
    <t>安定供給</t>
  </si>
  <si>
    <t>㈱シグロス</t>
  </si>
  <si>
    <t>アイボリー</t>
  </si>
  <si>
    <t>群馬県置き場＠要相談</t>
  </si>
  <si>
    <t>台車案件</t>
  </si>
  <si>
    <t>プラス</t>
    <phoneticPr fontId="3"/>
  </si>
  <si>
    <t>年間　100、200、450トンの3パターン</t>
    <phoneticPr fontId="3"/>
  </si>
  <si>
    <t>ﾍﾟｯﾄﾎﾞﾄﾙｷｬｯﾌﾟ</t>
    <phoneticPr fontId="3"/>
  </si>
  <si>
    <t>千葉県旭市着＠40円強</t>
    <rPh sb="0" eb="3">
      <t>チバケン</t>
    </rPh>
    <rPh sb="3" eb="5">
      <t>アサヒシ</t>
    </rPh>
    <rPh sb="5" eb="6">
      <t>チャク</t>
    </rPh>
    <rPh sb="9" eb="10">
      <t>エン</t>
    </rPh>
    <rPh sb="10" eb="11">
      <t>キョウ</t>
    </rPh>
    <phoneticPr fontId="3"/>
  </si>
  <si>
    <t>由来のわかるもの（トレーサビリティの取れるもの）希望</t>
  </si>
  <si>
    <t>積水成形工業 PEバンド向け。まずは提案材料あるかの確認。</t>
  </si>
  <si>
    <t>タカノ㈱</t>
  </si>
  <si>
    <t>1t/月</t>
  </si>
  <si>
    <t>昭プラ</t>
    <phoneticPr fontId="3"/>
  </si>
  <si>
    <t>6トン</t>
    <phoneticPr fontId="3"/>
  </si>
  <si>
    <t>13t/月</t>
    <rPh sb="4" eb="5">
      <t>ツキ</t>
    </rPh>
    <phoneticPr fontId="3"/>
  </si>
  <si>
    <t>詳細物性確認中</t>
    <rPh sb="0" eb="2">
      <t>ショウサイ</t>
    </rPh>
    <rPh sb="2" eb="4">
      <t>ブッセイ</t>
    </rPh>
    <rPh sb="4" eb="7">
      <t>カクニンチュウ</t>
    </rPh>
    <phoneticPr fontId="3"/>
  </si>
  <si>
    <t>タキヒヨー</t>
  </si>
  <si>
    <t>イチネン製作所</t>
  </si>
  <si>
    <t>再生</t>
  </si>
  <si>
    <t>４～10</t>
  </si>
  <si>
    <t>10トン弱</t>
  </si>
  <si>
    <t>ランダムのグリーンアース紹介</t>
  </si>
  <si>
    <t>三井物産</t>
  </si>
  <si>
    <t>PCR</t>
  </si>
  <si>
    <t>コロン韓国</t>
  </si>
  <si>
    <t>10～20</t>
  </si>
  <si>
    <t>大阪　貝塚納入＠</t>
  </si>
  <si>
    <t>住友林業の家具向けコンテナ（開発案件）</t>
  </si>
  <si>
    <t>鶴屋</t>
    <rPh sb="0" eb="2">
      <t>ツルヤ</t>
    </rPh>
    <phoneticPr fontId="3"/>
  </si>
  <si>
    <t>コンテナ</t>
    <phoneticPr fontId="3"/>
  </si>
  <si>
    <t>10~13トン/月</t>
    <rPh sb="8" eb="9">
      <t>ツキ</t>
    </rPh>
    <phoneticPr fontId="3"/>
  </si>
  <si>
    <t>油汚れ、紙付NG</t>
    <rPh sb="0" eb="1">
      <t>アブラ</t>
    </rPh>
    <rPh sb="1" eb="2">
      <t>ヨゴ</t>
    </rPh>
    <rPh sb="4" eb="5">
      <t>カミ</t>
    </rPh>
    <rPh sb="5" eb="6">
      <t>ツキ</t>
    </rPh>
    <phoneticPr fontId="3"/>
  </si>
  <si>
    <t>岩崎商事</t>
    <rPh sb="0" eb="2">
      <t>イワサキ</t>
    </rPh>
    <rPh sb="2" eb="4">
      <t>ショウジ</t>
    </rPh>
    <phoneticPr fontId="3"/>
  </si>
  <si>
    <t>茨城県笠間市納@92～</t>
    <rPh sb="0" eb="3">
      <t>イバラキケン</t>
    </rPh>
    <rPh sb="3" eb="5">
      <t>カサマ</t>
    </rPh>
    <rPh sb="5" eb="6">
      <t>シ</t>
    </rPh>
    <rPh sb="6" eb="7">
      <t>オサ</t>
    </rPh>
    <phoneticPr fontId="3"/>
  </si>
  <si>
    <t>3月まで120トン</t>
    <rPh sb="1" eb="2">
      <t>ガツ</t>
    </rPh>
    <phoneticPr fontId="3"/>
  </si>
  <si>
    <t>用途は雨水桝</t>
    <rPh sb="0" eb="2">
      <t>ヨウト</t>
    </rPh>
    <rPh sb="3" eb="5">
      <t>ウスイ</t>
    </rPh>
    <rPh sb="5" eb="6">
      <t>マス</t>
    </rPh>
    <phoneticPr fontId="3"/>
  </si>
  <si>
    <t>旭化成アドバンス（納入先は誠和化成）</t>
  </si>
  <si>
    <t>25程度</t>
  </si>
  <si>
    <t>文具向け</t>
    <rPh sb="0" eb="2">
      <t>ブング</t>
    </rPh>
    <rPh sb="2" eb="3">
      <t>ム</t>
    </rPh>
    <phoneticPr fontId="3"/>
  </si>
  <si>
    <t>PCR品希望</t>
    <rPh sb="3" eb="4">
      <t>ヒン</t>
    </rPh>
    <rPh sb="4" eb="6">
      <t>キボウ</t>
    </rPh>
    <phoneticPr fontId="3"/>
  </si>
  <si>
    <t>スズエ電機㈱</t>
  </si>
  <si>
    <t>130円未満</t>
  </si>
  <si>
    <t>きれいなもののみ</t>
  </si>
  <si>
    <t>129円未満</t>
  </si>
  <si>
    <t>㈱エクセル東海</t>
  </si>
  <si>
    <t>1~5</t>
  </si>
  <si>
    <t>10t/月以上</t>
  </si>
  <si>
    <t>配送は2tずつが希望です。</t>
  </si>
  <si>
    <t>KISCO㈱</t>
  </si>
  <si>
    <t>大阪八尾市</t>
  </si>
  <si>
    <t>5トン～</t>
  </si>
  <si>
    <t>15程度</t>
  </si>
  <si>
    <t>１０トン程度</t>
  </si>
  <si>
    <t>DSL</t>
  </si>
  <si>
    <t>５トン～１０トン</t>
  </si>
  <si>
    <t>4　か　11</t>
    <phoneticPr fontId="3"/>
  </si>
  <si>
    <t>コンテナ単位</t>
    <rPh sb="4" eb="6">
      <t>タンイ</t>
    </rPh>
    <phoneticPr fontId="3"/>
  </si>
  <si>
    <t>ベトナム向け</t>
    <rPh sb="4" eb="5">
      <t>ム</t>
    </rPh>
    <phoneticPr fontId="3"/>
  </si>
  <si>
    <t>クローズ</t>
    <phoneticPr fontId="3"/>
  </si>
  <si>
    <t>シャルピー 下限</t>
  </si>
  <si>
    <t>シャルピー 上限</t>
  </si>
  <si>
    <t>密度 下限</t>
  </si>
  <si>
    <t>密度 上限</t>
  </si>
  <si>
    <t>価格 下限</t>
  </si>
  <si>
    <t>価格 上限</t>
  </si>
  <si>
    <t>場所</t>
  </si>
  <si>
    <t>千葉県旭市</t>
  </si>
  <si>
    <t>クローズ</t>
    <phoneticPr fontId="3"/>
  </si>
  <si>
    <t>オープン</t>
    <phoneticPr fontId="3"/>
  </si>
  <si>
    <t>取引先</t>
    <rPh sb="0" eb="3">
      <t>トリヒキサキ</t>
    </rPh>
    <phoneticPr fontId="3"/>
  </si>
  <si>
    <t>ブロータイプ。</t>
    <phoneticPr fontId="3"/>
  </si>
  <si>
    <t>ブロータイプ。押出タイプ</t>
    <rPh sb="7" eb="9">
      <t>オシダシ</t>
    </rPh>
    <phoneticPr fontId="3"/>
  </si>
  <si>
    <t>PC</t>
    <phoneticPr fontId="3"/>
  </si>
  <si>
    <t>（ｶﾞﾗｽ15%）</t>
    <phoneticPr fontId="3"/>
  </si>
  <si>
    <t>PE混じり</t>
    <rPh sb="2" eb="3">
      <t>マ</t>
    </rPh>
    <phoneticPr fontId="3"/>
  </si>
  <si>
    <t>PSP　</t>
    <phoneticPr fontId="3"/>
  </si>
  <si>
    <t>園芸鉢用として。木粉PPペレットを使用していたが、コストダウンのため粉砕のまま使用開始。木粉入り</t>
    <phoneticPr fontId="3"/>
  </si>
  <si>
    <t>PET/PBT</t>
    <phoneticPr fontId="3"/>
  </si>
  <si>
    <t>色目は厳しくない。タルク20～30％</t>
    <phoneticPr fontId="3"/>
  </si>
  <si>
    <t>ブロック</t>
    <phoneticPr fontId="3"/>
  </si>
  <si>
    <t>金発案件。GF３０</t>
    <phoneticPr fontId="3"/>
  </si>
  <si>
    <t>雑OK</t>
    <phoneticPr fontId="3"/>
  </si>
  <si>
    <t>（着色可能な色）</t>
  </si>
  <si>
    <t>向け地は関東。白もOK</t>
    <rPh sb="0" eb="1">
      <t>ム</t>
    </rPh>
    <rPh sb="2" eb="3">
      <t>チ</t>
    </rPh>
    <rPh sb="4" eb="6">
      <t>カントウ</t>
    </rPh>
    <rPh sb="7" eb="8">
      <t>シロ</t>
    </rPh>
    <phoneticPr fontId="3"/>
  </si>
  <si>
    <t>MBで黒に染まらないものはNG。黒も雑色もOK</t>
    <rPh sb="16" eb="17">
      <t>クロ</t>
    </rPh>
    <rPh sb="18" eb="20">
      <t>ザッショク</t>
    </rPh>
    <phoneticPr fontId="3"/>
  </si>
  <si>
    <t>ナチュラル</t>
    <phoneticPr fontId="3"/>
  </si>
  <si>
    <t>ブロックもOK</t>
    <phoneticPr fontId="3"/>
  </si>
  <si>
    <t>医療用ごみ箱、廃棄するので価格勝負。黒もOK。</t>
    <rPh sb="0" eb="3">
      <t>イリョウヨウ</t>
    </rPh>
    <rPh sb="5" eb="6">
      <t>バコ</t>
    </rPh>
    <rPh sb="7" eb="9">
      <t>ハイキ</t>
    </rPh>
    <rPh sb="13" eb="15">
      <t>カカク</t>
    </rPh>
    <rPh sb="15" eb="17">
      <t>ショウブ</t>
    </rPh>
    <phoneticPr fontId="3"/>
  </si>
  <si>
    <t>ペレットの場合は@130前後、工場視察や水分測定など条件が厳しくなるようです。黒もOK</t>
    <phoneticPr fontId="3"/>
  </si>
  <si>
    <t>黒もOK</t>
    <phoneticPr fontId="3"/>
  </si>
  <si>
    <t>黒もOK</t>
    <rPh sb="0" eb="1">
      <t>クロ</t>
    </rPh>
    <phoneticPr fontId="3"/>
  </si>
  <si>
    <t>雑</t>
    <phoneticPr fontId="3"/>
  </si>
  <si>
    <t>黒</t>
    <phoneticPr fontId="3"/>
  </si>
  <si>
    <t>（用途：自動車のダクト）</t>
    <phoneticPr fontId="3"/>
  </si>
  <si>
    <t>黒はNG</t>
    <rPh sb="0" eb="1">
      <t>クロ</t>
    </rPh>
    <phoneticPr fontId="3"/>
  </si>
  <si>
    <t>PBT一般グレード（東レ:1401、三菱ケミカル：5010、ポリプラ：2002・2000）由来があると助かります。ペレットもOK</t>
    <phoneticPr fontId="3"/>
  </si>
  <si>
    <t>タルク10～30％。ペレットもOK</t>
    <phoneticPr fontId="3"/>
  </si>
  <si>
    <t>HP-520同等スペック。ペレットもOK</t>
    <phoneticPr fontId="3"/>
  </si>
  <si>
    <t>700-314またはPA-757同等スペック。不透明。ペレットもOK</t>
    <rPh sb="16" eb="18">
      <t>ドウトウ</t>
    </rPh>
    <rPh sb="23" eb="26">
      <t>フトウメイ</t>
    </rPh>
    <phoneticPr fontId="3"/>
  </si>
  <si>
    <t>コンパウンド作り。ペレットもOK</t>
    <phoneticPr fontId="3"/>
  </si>
  <si>
    <t>現在ハーツアズワンから納品しておりますが、排出先が内製化により排出が減った流れとなります。白もOK。ペレットもOK</t>
    <rPh sb="45" eb="46">
      <t>シロ</t>
    </rPh>
    <phoneticPr fontId="3"/>
  </si>
  <si>
    <t>修正テープ向け。摺動タイプ。ペレットもOK</t>
    <phoneticPr fontId="3"/>
  </si>
  <si>
    <t>GF強化。ペレットもOK</t>
    <phoneticPr fontId="3"/>
  </si>
  <si>
    <t>粉砕</t>
    <rPh sb="0" eb="2">
      <t>フンサイ</t>
    </rPh>
    <phoneticPr fontId="3"/>
  </si>
  <si>
    <t>紙袋</t>
    <rPh sb="0" eb="2">
      <t>カミブクロ</t>
    </rPh>
    <phoneticPr fontId="3"/>
  </si>
  <si>
    <t>梱包重量</t>
    <rPh sb="0" eb="4">
      <t>コンポウジュウリョウ</t>
    </rPh>
    <phoneticPr fontId="3"/>
  </si>
  <si>
    <t>梱包形態</t>
    <rPh sb="0" eb="4">
      <t>コンポウケイタイ</t>
    </rPh>
    <phoneticPr fontId="3"/>
  </si>
  <si>
    <t>インジェクション用</t>
    <rPh sb="8" eb="9">
      <t>ヨウ</t>
    </rPh>
    <phoneticPr fontId="3"/>
  </si>
  <si>
    <t>用途は卓上クリア引き出し。射出用</t>
    <phoneticPr fontId="3"/>
  </si>
  <si>
    <t>丸喜の黒再生案内・ミドリ電機　ファン付きベスト向け。757相当</t>
    <phoneticPr fontId="3"/>
  </si>
  <si>
    <t>市場クレーム発生し、材料切替検討中テーマ。引張強さ：30。曲げ強度：39。曲げ弾性力：1,220。コンタミなし。</t>
    <phoneticPr fontId="3"/>
  </si>
  <si>
    <t>ｱｲｿﾞｯﾄﾞ 下限</t>
    <phoneticPr fontId="3"/>
  </si>
  <si>
    <t>ｱｲｿﾞｯﾄﾞ 上限</t>
    <phoneticPr fontId="3"/>
  </si>
  <si>
    <t>M90-44相当</t>
    <phoneticPr fontId="3"/>
  </si>
  <si>
    <t>物性のブレがないもの。曲げ弾は低い方がいい</t>
    <phoneticPr fontId="3"/>
  </si>
  <si>
    <t>既存で使用していたものが福井県内から入手できなくなった為、相談来た。GF20％強化。白もOK。ﾍﾟﾚｯﾄもOK。「ﾊｲﾊﾟｰﾗｲﾄ」指定！</t>
    <rPh sb="42" eb="43">
      <t>シロ</t>
    </rPh>
    <phoneticPr fontId="3"/>
  </si>
  <si>
    <t>M90シリーズ限定。M90-44</t>
    <phoneticPr fontId="3"/>
  </si>
  <si>
    <t>灰皿、理想は難燃GF30%。難燃、ｶﾞﾗｽ入り</t>
    <phoneticPr fontId="3"/>
  </si>
  <si>
    <t>新規商品立ち上げとなり需要は未定。白系。バケツ向け。</t>
    <rPh sb="17" eb="19">
      <t>シロケイ</t>
    </rPh>
    <phoneticPr fontId="3"/>
  </si>
  <si>
    <t>現状魚箱由来の再生使用中。発砲PS。ウッドデッキ向け</t>
    <phoneticPr fontId="3"/>
  </si>
  <si>
    <t>納入・置場</t>
    <phoneticPr fontId="3"/>
  </si>
  <si>
    <t>置場</t>
    <rPh sb="0" eb="2">
      <t>オキバ</t>
    </rPh>
    <phoneticPr fontId="3"/>
  </si>
  <si>
    <t>岡山</t>
    <rPh sb="0" eb="2">
      <t>オカヤマ</t>
    </rPh>
    <phoneticPr fontId="3"/>
  </si>
  <si>
    <t>栃木</t>
    <rPh sb="0" eb="2">
      <t>トチギ</t>
    </rPh>
    <phoneticPr fontId="3"/>
  </si>
  <si>
    <t>三重</t>
    <rPh sb="0" eb="2">
      <t>ミエ</t>
    </rPh>
    <phoneticPr fontId="3"/>
  </si>
  <si>
    <t>山梨</t>
    <rPh sb="0" eb="2">
      <t>ヤマナシ</t>
    </rPh>
    <phoneticPr fontId="3"/>
  </si>
  <si>
    <t>大阪</t>
    <rPh sb="0" eb="2">
      <t>オオサカ</t>
    </rPh>
    <phoneticPr fontId="3"/>
  </si>
  <si>
    <t>北海道</t>
    <rPh sb="0" eb="3">
      <t>ホッカイドウ</t>
    </rPh>
    <phoneticPr fontId="3"/>
  </si>
  <si>
    <t>名古屋</t>
  </si>
  <si>
    <t>納入</t>
    <rPh sb="0" eb="2">
      <t>ノウニュウ</t>
    </rPh>
    <phoneticPr fontId="3"/>
  </si>
  <si>
    <t>埼玉深谷市</t>
    <rPh sb="0" eb="4">
      <t>サイタマフカヤ</t>
    </rPh>
    <rPh sb="4" eb="5">
      <t>シ</t>
    </rPh>
    <phoneticPr fontId="3"/>
  </si>
  <si>
    <t>名古屋渡し180円</t>
    <phoneticPr fontId="3"/>
  </si>
  <si>
    <t>埼玉</t>
    <rPh sb="0" eb="2">
      <t>サイタマ</t>
    </rPh>
    <phoneticPr fontId="3"/>
  </si>
  <si>
    <t>滋賀県</t>
    <rPh sb="0" eb="3">
      <t>シガケン</t>
    </rPh>
    <phoneticPr fontId="3"/>
  </si>
  <si>
    <t>静岡</t>
    <rPh sb="0" eb="2">
      <t>シズオカ</t>
    </rPh>
    <phoneticPr fontId="3"/>
  </si>
  <si>
    <t>群馬</t>
    <rPh sb="0" eb="2">
      <t>グンマ</t>
    </rPh>
    <phoneticPr fontId="3"/>
  </si>
  <si>
    <t>関東</t>
    <rPh sb="0" eb="2">
      <t>カントウ</t>
    </rPh>
    <phoneticPr fontId="3"/>
  </si>
  <si>
    <t>静岡県御殿場市納入：135円</t>
    <phoneticPr fontId="3"/>
  </si>
  <si>
    <t>静岡県御殿場市</t>
  </si>
  <si>
    <t>大阪府八尾市納入@120</t>
    <phoneticPr fontId="3"/>
  </si>
  <si>
    <t>大阪府八尾市</t>
  </si>
  <si>
    <t>大阪府八尾市</t>
    <phoneticPr fontId="3"/>
  </si>
  <si>
    <t>大阪　貝塚納入＠</t>
    <phoneticPr fontId="3"/>
  </si>
  <si>
    <t>茨城県下妻市</t>
  </si>
  <si>
    <t>山梨県笛吹市</t>
  </si>
  <si>
    <t>長野県信濃町納入@125</t>
    <phoneticPr fontId="3"/>
  </si>
  <si>
    <t>長野県信濃町</t>
  </si>
  <si>
    <t>福井県納入＠100</t>
    <phoneticPr fontId="3"/>
  </si>
  <si>
    <t>福井県</t>
  </si>
  <si>
    <t>八街市</t>
  </si>
  <si>
    <t>群馬県置き場＠要相談</t>
    <phoneticPr fontId="3"/>
  </si>
  <si>
    <t>群馬県</t>
  </si>
  <si>
    <t>群馬県太田市納入@85～90</t>
    <phoneticPr fontId="3"/>
  </si>
  <si>
    <t>群馬県太田市</t>
    <phoneticPr fontId="3"/>
  </si>
  <si>
    <t>大阪貝塚</t>
    <phoneticPr fontId="3"/>
  </si>
  <si>
    <t>ペレットもOK、270円まで</t>
    <phoneticPr fontId="3"/>
  </si>
  <si>
    <t>13ｔ</t>
    <phoneticPr fontId="3"/>
  </si>
  <si>
    <t>数量 下限</t>
    <phoneticPr fontId="3"/>
  </si>
  <si>
    <t>数量 上限</t>
    <phoneticPr fontId="3"/>
  </si>
  <si>
    <t>数量区分</t>
    <phoneticPr fontId="3"/>
  </si>
  <si>
    <t>月間</t>
    <rPh sb="0" eb="2">
      <t>ゲッカン</t>
    </rPh>
    <phoneticPr fontId="3"/>
  </si>
  <si>
    <t>スポット</t>
    <phoneticPr fontId="3"/>
  </si>
  <si>
    <t>MI 下限</t>
    <phoneticPr fontId="3"/>
  </si>
  <si>
    <t>MI 上限</t>
    <phoneticPr fontId="3"/>
  </si>
  <si>
    <t>タカノ</t>
  </si>
  <si>
    <t>ペレット</t>
  </si>
  <si>
    <t>その他</t>
    <rPh sb="2" eb="3">
      <t>ホカ</t>
    </rPh>
    <phoneticPr fontId="3"/>
  </si>
  <si>
    <t>曲げ弾1300前後</t>
    <phoneticPr fontId="3"/>
  </si>
  <si>
    <t>HDPE</t>
    <phoneticPr fontId="3"/>
  </si>
  <si>
    <t>LDPE</t>
    <phoneticPr fontId="3"/>
  </si>
  <si>
    <t>LLDPE</t>
    <phoneticPr fontId="3"/>
  </si>
  <si>
    <t>GPPS</t>
    <phoneticPr fontId="3"/>
  </si>
  <si>
    <t>HIPS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</si>
</sst>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2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 applyAlignment="1">
      <alignment vertical="center" shrinkToFit="1"/>
    </xf>
    <xf numFmtId="0" fontId="2" fillId="2" borderId="1" xfId="0" applyFont="1" applyFill="1" applyBorder="1">
      <alignment vertical="center"/>
    </xf>
    <xf numFmtId="176" fontId="2" fillId="2" borderId="2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2" borderId="2" xfId="0" applyFont="1" applyFill="1" applyBorder="1" applyAlignment="1">
      <alignment vertical="center" shrinkToFit="1"/>
    </xf>
    <xf numFmtId="0" fontId="5" fillId="3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4" fontId="1" fillId="0" borderId="1" xfId="0" applyNumberFormat="1" applyFont="1" applyBorder="1" applyAlignment="1">
      <alignment horizontal="center" vertical="center"/>
    </xf>
  </cellXfs>
  <cellStyles count="3">
    <cellStyle name="Hyperlink" xfId="1" xr:uid="{00000000-000B-0000-0000-000008000000}"/>
    <cellStyle name="ハイパーリンク" xfId="2" builtinId="8"/>
    <cellStyle name="標準" xfId="0" builtinId="0"/>
  </cellStyles>
  <dxfs count="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2823;&#38442;&#24220;&#20843;&#23614;&#24066;&#32013;&#20837;@120" TargetMode="External"/><Relationship Id="rId2" Type="http://schemas.openxmlformats.org/officeDocument/2006/relationships/hyperlink" Target="mailto:&#12506;&#12524;&#12483;&#12488;&#12398;&#22580;&#21512;&#12399;@130&#21069;&#24460;&#12289;&#24037;&#22580;&#35222;&#23519;&#12420;&#27700;&#20998;&#28204;&#23450;&#12394;&#12393;&#26465;&#20214;&#12364;&#21427;&#12375;&#12367;&#12394;&#12427;&#12424;&#12358;&#12391;&#12377;&#12290;&#40658;&#12418;OK" TargetMode="External"/><Relationship Id="rId1" Type="http://schemas.openxmlformats.org/officeDocument/2006/relationships/hyperlink" Target="mailto:&#33576;&#22478;&#30476;&#31520;&#38291;&#24066;&#32013;@92&#65374;" TargetMode="External"/><Relationship Id="rId5" Type="http://schemas.openxmlformats.org/officeDocument/2006/relationships/hyperlink" Target="mailto:&#32676;&#39340;&#30476;&#22826;&#30000;&#24066;&#32013;&#20837;@85&#65374;90" TargetMode="External"/><Relationship Id="rId4" Type="http://schemas.openxmlformats.org/officeDocument/2006/relationships/hyperlink" Target="mailto:&#38263;&#37326;&#30476;&#20449;&#28611;&#30010;&#32013;&#20837;@1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B04A-F1D3-4606-B671-CABC5A98D89E}">
  <sheetPr>
    <tabColor rgb="FFFFFF00"/>
  </sheetPr>
  <dimension ref="A1:AO109"/>
  <sheetViews>
    <sheetView tabSelected="1" zoomScale="85" zoomScaleNormal="85" workbookViewId="0">
      <pane ySplit="1" topLeftCell="A43" activePane="bottomLeft" state="frozen"/>
      <selection pane="bottomLeft" activeCell="H55" sqref="H55"/>
    </sheetView>
  </sheetViews>
  <sheetFormatPr defaultColWidth="8.69921875" defaultRowHeight="18" x14ac:dyDescent="0.45"/>
  <cols>
    <col min="1" max="1" width="5.5" style="2" customWidth="1"/>
    <col min="2" max="2" width="16.19921875" style="2" customWidth="1"/>
    <col min="3" max="3" width="11.8984375" style="11" bestFit="1" customWidth="1"/>
    <col min="4" max="4" width="33.3984375" style="2" customWidth="1"/>
    <col min="5" max="5" width="6.09765625" style="2" customWidth="1"/>
    <col min="6" max="6" width="14.09765625" style="2" customWidth="1"/>
    <col min="7" max="7" width="11" style="4" customWidth="1"/>
    <col min="8" max="8" width="20.8984375" style="2" customWidth="1"/>
    <col min="9" max="9" width="21.59765625" style="2" customWidth="1"/>
    <col min="10" max="10" width="18.19921875" style="2" customWidth="1"/>
    <col min="11" max="11" width="6.69921875" style="2" customWidth="1"/>
    <col min="12" max="15" width="8.69921875" style="2"/>
    <col min="16" max="18" width="16.19921875" style="2" customWidth="1"/>
    <col min="19" max="19" width="11.09765625" style="2" bestFit="1" customWidth="1"/>
    <col min="20" max="20" width="11.09765625" style="2" hidden="1" customWidth="1"/>
    <col min="21" max="25" width="11.09765625" style="2" customWidth="1"/>
    <col min="26" max="26" width="8.69921875" style="2"/>
    <col min="27" max="27" width="10.59765625" style="2" bestFit="1" customWidth="1"/>
    <col min="28" max="28" width="10.59765625" style="2" hidden="1" customWidth="1"/>
    <col min="29" max="31" width="10.59765625" style="2" customWidth="1"/>
    <col min="32" max="32" width="13.69921875" style="2" bestFit="1" customWidth="1"/>
    <col min="33" max="33" width="17.5" style="4" customWidth="1"/>
    <col min="34" max="34" width="8.69921875" style="2"/>
    <col min="35" max="35" width="8.69921875" style="2" customWidth="1"/>
    <col min="36" max="36" width="8.69921875" style="2"/>
    <col min="37" max="37" width="17.296875" style="2" customWidth="1"/>
    <col min="38" max="38" width="18.19921875" style="2" customWidth="1"/>
    <col min="39" max="39" width="17.296875" style="2" customWidth="1"/>
    <col min="40" max="40" width="37.69921875" style="2" customWidth="1"/>
    <col min="41" max="16384" width="8.69921875" style="2"/>
  </cols>
  <sheetData>
    <row r="1" spans="1:40" x14ac:dyDescent="0.45">
      <c r="A1" s="22" t="s">
        <v>0</v>
      </c>
      <c r="B1" s="23" t="s">
        <v>322</v>
      </c>
      <c r="C1" s="21" t="s">
        <v>1</v>
      </c>
      <c r="D1" s="18" t="s">
        <v>324</v>
      </c>
      <c r="E1" s="18" t="s">
        <v>36</v>
      </c>
      <c r="F1" s="18" t="s">
        <v>37</v>
      </c>
      <c r="G1" s="24" t="s">
        <v>106</v>
      </c>
      <c r="H1" s="18" t="s">
        <v>59</v>
      </c>
      <c r="I1" s="18" t="s">
        <v>60</v>
      </c>
      <c r="J1" s="18" t="s">
        <v>61</v>
      </c>
      <c r="K1" s="18" t="s">
        <v>38</v>
      </c>
      <c r="L1" s="18" t="s">
        <v>361</v>
      </c>
      <c r="M1" s="17" t="s">
        <v>360</v>
      </c>
      <c r="N1" s="25" t="s">
        <v>417</v>
      </c>
      <c r="O1" s="25" t="s">
        <v>418</v>
      </c>
      <c r="P1" s="20"/>
      <c r="Q1" s="25" t="s">
        <v>314</v>
      </c>
      <c r="R1" s="25" t="s">
        <v>315</v>
      </c>
      <c r="S1" s="20"/>
      <c r="T1" s="20" t="s">
        <v>40</v>
      </c>
      <c r="U1" s="25" t="s">
        <v>366</v>
      </c>
      <c r="V1" s="25" t="s">
        <v>367</v>
      </c>
      <c r="W1" s="25" t="s">
        <v>316</v>
      </c>
      <c r="X1" s="25" t="s">
        <v>317</v>
      </c>
      <c r="Y1" s="25" t="s">
        <v>421</v>
      </c>
      <c r="Z1" s="20" t="s">
        <v>41</v>
      </c>
      <c r="AA1" s="20" t="s">
        <v>62</v>
      </c>
      <c r="AB1" s="20" t="s">
        <v>63</v>
      </c>
      <c r="AC1" s="25" t="s">
        <v>375</v>
      </c>
      <c r="AD1" s="25" t="s">
        <v>320</v>
      </c>
      <c r="AE1" s="25" t="s">
        <v>318</v>
      </c>
      <c r="AF1" s="25" t="s">
        <v>319</v>
      </c>
      <c r="AG1" s="19"/>
      <c r="AH1" s="20"/>
      <c r="AI1" s="20" t="s">
        <v>412</v>
      </c>
      <c r="AJ1" s="20" t="s">
        <v>413</v>
      </c>
      <c r="AK1" s="20" t="s">
        <v>414</v>
      </c>
      <c r="AL1" s="20"/>
      <c r="AM1" s="20"/>
      <c r="AN1" s="18" t="s">
        <v>39</v>
      </c>
    </row>
    <row r="2" spans="1:40" x14ac:dyDescent="0.45">
      <c r="A2" s="3">
        <v>1</v>
      </c>
      <c r="B2" s="3" t="s">
        <v>323</v>
      </c>
      <c r="C2" s="9">
        <v>45082</v>
      </c>
      <c r="D2" s="1" t="s">
        <v>107</v>
      </c>
      <c r="E2" s="1" t="s">
        <v>4</v>
      </c>
      <c r="F2" s="1" t="s">
        <v>425</v>
      </c>
      <c r="G2" s="6"/>
      <c r="H2" s="1" t="s">
        <v>340</v>
      </c>
      <c r="I2" s="1" t="s">
        <v>64</v>
      </c>
      <c r="J2" s="1" t="s">
        <v>65</v>
      </c>
      <c r="K2" s="1" t="s">
        <v>42</v>
      </c>
      <c r="L2" s="1" t="s">
        <v>28</v>
      </c>
      <c r="M2" s="1"/>
      <c r="N2" s="1">
        <v>1</v>
      </c>
      <c r="O2" s="1">
        <v>3</v>
      </c>
      <c r="P2" s="1" t="s">
        <v>108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376</v>
      </c>
      <c r="AD2" s="1" t="s">
        <v>377</v>
      </c>
      <c r="AE2" s="1"/>
      <c r="AF2" s="1"/>
      <c r="AG2" s="6" t="s">
        <v>109</v>
      </c>
      <c r="AH2" s="1"/>
      <c r="AI2" s="1">
        <v>13000</v>
      </c>
      <c r="AJ2" s="1">
        <v>26000</v>
      </c>
      <c r="AK2" s="1" t="s">
        <v>415</v>
      </c>
      <c r="AL2" s="1" t="s">
        <v>110</v>
      </c>
      <c r="AM2" s="1"/>
      <c r="AN2" s="1" t="s">
        <v>336</v>
      </c>
    </row>
    <row r="3" spans="1:40" ht="36" x14ac:dyDescent="0.45">
      <c r="A3" s="3">
        <v>2</v>
      </c>
      <c r="B3" s="3" t="s">
        <v>323</v>
      </c>
      <c r="C3" s="9">
        <v>45085</v>
      </c>
      <c r="D3" s="1" t="s">
        <v>111</v>
      </c>
      <c r="E3" s="1" t="s">
        <v>7</v>
      </c>
      <c r="F3" s="1" t="s">
        <v>425</v>
      </c>
      <c r="G3" s="6"/>
      <c r="H3" s="1" t="s">
        <v>340</v>
      </c>
      <c r="I3" s="1" t="s">
        <v>64</v>
      </c>
      <c r="J3" s="1"/>
      <c r="K3" s="1" t="s">
        <v>45</v>
      </c>
      <c r="L3" s="1"/>
      <c r="M3" s="1"/>
      <c r="N3" s="3" t="str">
        <f>_xlfn.TEXTBEFORE(P3,"～")</f>
        <v>20</v>
      </c>
      <c r="O3" s="3" t="str">
        <f>_xlfn.TEXTAFTER(P3,"～")</f>
        <v>30</v>
      </c>
      <c r="P3" s="1" t="s">
        <v>58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376</v>
      </c>
      <c r="AD3" s="1" t="s">
        <v>378</v>
      </c>
      <c r="AE3" s="1">
        <v>170</v>
      </c>
      <c r="AF3" s="1">
        <v>180</v>
      </c>
      <c r="AG3" s="8" t="s">
        <v>112</v>
      </c>
      <c r="AH3" s="1"/>
      <c r="AI3" s="1">
        <v>6000</v>
      </c>
      <c r="AJ3" s="1">
        <v>6000</v>
      </c>
      <c r="AK3" s="1" t="s">
        <v>415</v>
      </c>
      <c r="AL3" s="1" t="s">
        <v>113</v>
      </c>
      <c r="AM3" s="1"/>
      <c r="AN3" s="1" t="s">
        <v>337</v>
      </c>
    </row>
    <row r="4" spans="1:40" ht="36" x14ac:dyDescent="0.45">
      <c r="A4" s="3">
        <v>3</v>
      </c>
      <c r="B4" s="3" t="s">
        <v>323</v>
      </c>
      <c r="C4" s="9">
        <v>45085</v>
      </c>
      <c r="D4" s="1" t="s">
        <v>111</v>
      </c>
      <c r="E4" s="1" t="s">
        <v>7</v>
      </c>
      <c r="F4" s="3" t="s">
        <v>423</v>
      </c>
      <c r="G4" s="7"/>
      <c r="H4" s="1" t="s">
        <v>340</v>
      </c>
      <c r="I4" s="1" t="s">
        <v>64</v>
      </c>
      <c r="J4" s="3"/>
      <c r="K4" s="1" t="s">
        <v>45</v>
      </c>
      <c r="L4" s="3"/>
      <c r="M4" s="3"/>
      <c r="N4" s="3" t="str">
        <f>_xlfn.TEXTBEFORE(P4,"～")</f>
        <v>20</v>
      </c>
      <c r="O4" s="3" t="str">
        <f t="shared" ref="O4:O5" si="0">_xlfn.TEXTAFTER(P4,"～")</f>
        <v>30</v>
      </c>
      <c r="P4" s="1" t="s">
        <v>58</v>
      </c>
      <c r="Q4" s="1"/>
      <c r="R4" s="1"/>
      <c r="S4" s="3"/>
      <c r="T4" s="3"/>
      <c r="U4" s="3"/>
      <c r="V4" s="3"/>
      <c r="W4" s="3"/>
      <c r="X4" s="3"/>
      <c r="Y4" s="3"/>
      <c r="Z4" s="3"/>
      <c r="AA4" s="3"/>
      <c r="AB4" s="3"/>
      <c r="AC4" s="1" t="s">
        <v>376</v>
      </c>
      <c r="AD4" s="1" t="s">
        <v>378</v>
      </c>
      <c r="AE4" s="1">
        <v>170</v>
      </c>
      <c r="AF4" s="1">
        <v>180</v>
      </c>
      <c r="AG4" s="8" t="s">
        <v>112</v>
      </c>
      <c r="AH4" s="3"/>
      <c r="AI4" s="1">
        <v>6000</v>
      </c>
      <c r="AJ4" s="1">
        <v>6000</v>
      </c>
      <c r="AK4" s="1" t="s">
        <v>415</v>
      </c>
      <c r="AL4" s="1" t="s">
        <v>113</v>
      </c>
      <c r="AM4" s="3"/>
      <c r="AN4" s="1" t="s">
        <v>337</v>
      </c>
    </row>
    <row r="5" spans="1:40" ht="36" x14ac:dyDescent="0.45">
      <c r="A5" s="3">
        <v>4</v>
      </c>
      <c r="B5" s="3" t="s">
        <v>323</v>
      </c>
      <c r="C5" s="9">
        <v>45085</v>
      </c>
      <c r="D5" s="1" t="s">
        <v>111</v>
      </c>
      <c r="E5" s="1" t="s">
        <v>7</v>
      </c>
      <c r="F5" s="3" t="s">
        <v>8</v>
      </c>
      <c r="G5" s="7" t="s">
        <v>20</v>
      </c>
      <c r="H5" s="1" t="s">
        <v>340</v>
      </c>
      <c r="I5" s="1" t="s">
        <v>64</v>
      </c>
      <c r="J5" s="3"/>
      <c r="K5" s="1" t="s">
        <v>45</v>
      </c>
      <c r="L5" s="3"/>
      <c r="M5" s="3"/>
      <c r="N5" s="3" t="str">
        <f>_xlfn.TEXTBEFORE(P5,"～")</f>
        <v>20</v>
      </c>
      <c r="O5" s="3" t="str">
        <f t="shared" si="0"/>
        <v>30</v>
      </c>
      <c r="P5" s="1" t="s">
        <v>58</v>
      </c>
      <c r="Q5" s="1">
        <v>6</v>
      </c>
      <c r="R5" s="1"/>
      <c r="S5" s="3" t="s">
        <v>114</v>
      </c>
      <c r="T5" s="3"/>
      <c r="U5" s="3"/>
      <c r="V5" s="3"/>
      <c r="W5" s="3"/>
      <c r="X5" s="3"/>
      <c r="Y5" s="3"/>
      <c r="Z5" s="3"/>
      <c r="AA5" s="3"/>
      <c r="AB5" s="3"/>
      <c r="AC5" s="1" t="s">
        <v>376</v>
      </c>
      <c r="AD5" s="1" t="s">
        <v>378</v>
      </c>
      <c r="AE5" s="1">
        <v>170</v>
      </c>
      <c r="AF5" s="1">
        <v>180</v>
      </c>
      <c r="AG5" s="8" t="s">
        <v>112</v>
      </c>
      <c r="AH5" s="3"/>
      <c r="AI5" s="1">
        <v>6000</v>
      </c>
      <c r="AJ5" s="1">
        <v>6000</v>
      </c>
      <c r="AK5" s="1" t="s">
        <v>415</v>
      </c>
      <c r="AL5" s="1" t="s">
        <v>113</v>
      </c>
      <c r="AM5" s="3"/>
      <c r="AN5" s="1" t="s">
        <v>337</v>
      </c>
    </row>
    <row r="6" spans="1:40" x14ac:dyDescent="0.45">
      <c r="A6" s="3">
        <v>5</v>
      </c>
      <c r="B6" s="3" t="s">
        <v>313</v>
      </c>
      <c r="C6" s="10">
        <v>45089</v>
      </c>
      <c r="D6" s="3" t="s">
        <v>115</v>
      </c>
      <c r="E6" s="3" t="s">
        <v>4</v>
      </c>
      <c r="F6" s="3" t="s">
        <v>427</v>
      </c>
      <c r="G6" s="7"/>
      <c r="H6" s="3" t="s">
        <v>340</v>
      </c>
      <c r="I6" s="1" t="s">
        <v>64</v>
      </c>
      <c r="J6" s="3" t="s">
        <v>116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7"/>
      <c r="AH6" s="3"/>
      <c r="AI6" s="3">
        <v>1000</v>
      </c>
      <c r="AJ6" s="3">
        <v>5000</v>
      </c>
      <c r="AK6" s="1" t="s">
        <v>415</v>
      </c>
      <c r="AL6" s="3" t="s">
        <v>117</v>
      </c>
      <c r="AM6" s="3"/>
      <c r="AN6" s="3"/>
    </row>
    <row r="7" spans="1:40" x14ac:dyDescent="0.45">
      <c r="A7" s="3">
        <v>6</v>
      </c>
      <c r="B7" s="3" t="s">
        <v>323</v>
      </c>
      <c r="C7" s="10">
        <v>45100</v>
      </c>
      <c r="D7" s="3" t="s">
        <v>71</v>
      </c>
      <c r="E7" s="3" t="s">
        <v>7</v>
      </c>
      <c r="F7" s="3" t="s">
        <v>424</v>
      </c>
      <c r="G7" s="7"/>
      <c r="H7" s="3"/>
      <c r="I7" s="1" t="s">
        <v>64</v>
      </c>
      <c r="J7" s="3" t="s">
        <v>118</v>
      </c>
      <c r="K7" s="3" t="s">
        <v>45</v>
      </c>
      <c r="L7" s="3"/>
      <c r="M7" s="3"/>
      <c r="N7" s="3">
        <v>6</v>
      </c>
      <c r="O7" s="3">
        <v>8</v>
      </c>
      <c r="P7" s="3" t="s">
        <v>119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7"/>
      <c r="AH7" s="3"/>
      <c r="AI7" s="3">
        <v>150</v>
      </c>
      <c r="AJ7" s="3">
        <v>150</v>
      </c>
      <c r="AK7" s="1" t="s">
        <v>415</v>
      </c>
      <c r="AL7" s="3" t="s">
        <v>120</v>
      </c>
      <c r="AM7" s="3"/>
      <c r="AN7" s="3"/>
    </row>
    <row r="8" spans="1:40" x14ac:dyDescent="0.45">
      <c r="A8" s="3">
        <v>7</v>
      </c>
      <c r="B8" s="3" t="s">
        <v>323</v>
      </c>
      <c r="C8" s="10">
        <v>45100</v>
      </c>
      <c r="D8" s="3" t="s">
        <v>71</v>
      </c>
      <c r="E8" s="3" t="s">
        <v>7</v>
      </c>
      <c r="F8" s="3" t="s">
        <v>423</v>
      </c>
      <c r="G8" s="7"/>
      <c r="H8" s="3"/>
      <c r="I8" s="1" t="s">
        <v>64</v>
      </c>
      <c r="J8" s="3" t="s">
        <v>118</v>
      </c>
      <c r="K8" s="3" t="s">
        <v>45</v>
      </c>
      <c r="L8" s="3"/>
      <c r="M8" s="3"/>
      <c r="N8" s="3">
        <v>6</v>
      </c>
      <c r="O8" s="3">
        <v>8</v>
      </c>
      <c r="P8" s="3" t="s">
        <v>119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7"/>
      <c r="AH8" s="3"/>
      <c r="AI8" s="3">
        <v>150</v>
      </c>
      <c r="AJ8" s="3">
        <v>150</v>
      </c>
      <c r="AK8" s="1" t="s">
        <v>415</v>
      </c>
      <c r="AL8" s="3" t="s">
        <v>120</v>
      </c>
      <c r="AM8" s="3"/>
      <c r="AN8" s="3"/>
    </row>
    <row r="9" spans="1:40" x14ac:dyDescent="0.45">
      <c r="A9" s="3">
        <v>8</v>
      </c>
      <c r="B9" s="3" t="s">
        <v>323</v>
      </c>
      <c r="C9" s="10">
        <v>45100</v>
      </c>
      <c r="D9" s="3" t="s">
        <v>71</v>
      </c>
      <c r="E9" s="3" t="s">
        <v>7</v>
      </c>
      <c r="F9" s="1" t="s">
        <v>425</v>
      </c>
      <c r="G9" s="6"/>
      <c r="H9" s="3"/>
      <c r="I9" s="1" t="s">
        <v>64</v>
      </c>
      <c r="J9" s="3" t="s">
        <v>118</v>
      </c>
      <c r="K9" s="3" t="s">
        <v>45</v>
      </c>
      <c r="L9" s="3"/>
      <c r="M9" s="3"/>
      <c r="N9" s="3">
        <v>6</v>
      </c>
      <c r="O9" s="3">
        <v>8</v>
      </c>
      <c r="P9" s="3" t="s">
        <v>119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7"/>
      <c r="AH9" s="3"/>
      <c r="AI9" s="3">
        <v>150</v>
      </c>
      <c r="AJ9" s="3">
        <v>150</v>
      </c>
      <c r="AK9" s="1" t="s">
        <v>415</v>
      </c>
      <c r="AL9" s="3" t="s">
        <v>120</v>
      </c>
      <c r="AM9" s="3"/>
      <c r="AN9" s="3"/>
    </row>
    <row r="10" spans="1:40" x14ac:dyDescent="0.45">
      <c r="A10" s="3">
        <v>9</v>
      </c>
      <c r="B10" s="3" t="s">
        <v>323</v>
      </c>
      <c r="C10" s="10">
        <v>45104</v>
      </c>
      <c r="D10" s="3" t="s">
        <v>44</v>
      </c>
      <c r="E10" s="3" t="s">
        <v>5</v>
      </c>
      <c r="F10" s="3" t="s">
        <v>423</v>
      </c>
      <c r="G10" s="7"/>
      <c r="H10" s="3"/>
      <c r="I10" s="1" t="s">
        <v>64</v>
      </c>
      <c r="J10" s="3" t="s">
        <v>104</v>
      </c>
      <c r="K10" s="3" t="s">
        <v>45</v>
      </c>
      <c r="L10" s="3"/>
      <c r="M10" s="3"/>
      <c r="N10" s="3" t="str">
        <f t="shared" ref="N10:N11" si="1">_xlfn.TEXTBEFORE(P10,"～")</f>
        <v>0.2</v>
      </c>
      <c r="O10" s="3" t="str">
        <f t="shared" ref="O10:O11" si="2">_xlfn.TEXTAFTER(P10,"～")</f>
        <v>0.4</v>
      </c>
      <c r="P10" s="3" t="s">
        <v>121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376</v>
      </c>
      <c r="AD10" s="3" t="s">
        <v>379</v>
      </c>
      <c r="AE10" s="3">
        <v>130</v>
      </c>
      <c r="AF10" s="3">
        <v>130</v>
      </c>
      <c r="AG10" s="7" t="s">
        <v>122</v>
      </c>
      <c r="AH10" s="3"/>
      <c r="AI10" s="3">
        <v>20000</v>
      </c>
      <c r="AJ10" s="3">
        <v>20000</v>
      </c>
      <c r="AK10" s="1" t="s">
        <v>415</v>
      </c>
      <c r="AL10" s="3" t="s">
        <v>74</v>
      </c>
      <c r="AM10" s="3"/>
      <c r="AN10" s="3" t="s">
        <v>123</v>
      </c>
    </row>
    <row r="11" spans="1:40" x14ac:dyDescent="0.45">
      <c r="A11" s="3">
        <v>10</v>
      </c>
      <c r="B11" s="3" t="s">
        <v>323</v>
      </c>
      <c r="C11" s="10">
        <v>45104</v>
      </c>
      <c r="D11" s="3" t="s">
        <v>44</v>
      </c>
      <c r="E11" s="3" t="s">
        <v>5</v>
      </c>
      <c r="F11" s="3" t="s">
        <v>426</v>
      </c>
      <c r="G11" s="7"/>
      <c r="H11" s="3"/>
      <c r="I11" s="1" t="s">
        <v>64</v>
      </c>
      <c r="J11" s="3"/>
      <c r="K11" s="3" t="s">
        <v>45</v>
      </c>
      <c r="L11" s="3"/>
      <c r="M11" s="3"/>
      <c r="N11" s="3" t="str">
        <f t="shared" si="1"/>
        <v>2</v>
      </c>
      <c r="O11" s="3" t="str">
        <f t="shared" si="2"/>
        <v>5</v>
      </c>
      <c r="P11" s="3" t="s">
        <v>124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376</v>
      </c>
      <c r="AD11" s="3" t="s">
        <v>380</v>
      </c>
      <c r="AE11" s="3">
        <v>100</v>
      </c>
      <c r="AF11" s="3">
        <v>100</v>
      </c>
      <c r="AG11" s="7" t="s">
        <v>125</v>
      </c>
      <c r="AH11" s="3"/>
      <c r="AI11" s="3">
        <v>20000</v>
      </c>
      <c r="AJ11" s="3">
        <v>20000</v>
      </c>
      <c r="AK11" s="1" t="s">
        <v>415</v>
      </c>
      <c r="AL11" s="3" t="s">
        <v>74</v>
      </c>
      <c r="AM11" s="3"/>
      <c r="AN11" s="3" t="s">
        <v>349</v>
      </c>
    </row>
    <row r="12" spans="1:40" x14ac:dyDescent="0.45">
      <c r="A12" s="3">
        <v>11</v>
      </c>
      <c r="B12" s="3" t="s">
        <v>323</v>
      </c>
      <c r="C12" s="10">
        <v>45117</v>
      </c>
      <c r="D12" s="3" t="s">
        <v>126</v>
      </c>
      <c r="E12" s="3" t="s">
        <v>4</v>
      </c>
      <c r="F12" s="3" t="s">
        <v>127</v>
      </c>
      <c r="G12" s="7"/>
      <c r="H12" s="3" t="s">
        <v>89</v>
      </c>
      <c r="I12" s="1" t="s">
        <v>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G12" s="7"/>
      <c r="AH12" s="3"/>
      <c r="AI12" s="3">
        <v>3000</v>
      </c>
      <c r="AJ12" s="3">
        <v>4000</v>
      </c>
      <c r="AK12" s="1" t="s">
        <v>415</v>
      </c>
      <c r="AL12" s="3" t="s">
        <v>129</v>
      </c>
      <c r="AM12" s="3"/>
      <c r="AN12" s="3" t="s">
        <v>128</v>
      </c>
    </row>
    <row r="13" spans="1:40" x14ac:dyDescent="0.45">
      <c r="A13" s="3">
        <v>12</v>
      </c>
      <c r="B13" s="3" t="s">
        <v>323</v>
      </c>
      <c r="C13" s="10">
        <v>45118</v>
      </c>
      <c r="D13" s="3" t="s">
        <v>35</v>
      </c>
      <c r="E13" s="3" t="s">
        <v>5</v>
      </c>
      <c r="F13" s="3" t="s">
        <v>423</v>
      </c>
      <c r="G13" s="7"/>
      <c r="H13" s="3" t="s">
        <v>347</v>
      </c>
      <c r="I13" s="1" t="s">
        <v>64</v>
      </c>
      <c r="J13" s="3" t="s">
        <v>104</v>
      </c>
      <c r="K13" s="3" t="s">
        <v>45</v>
      </c>
      <c r="L13" s="3"/>
      <c r="M13" s="3"/>
      <c r="N13" s="3" t="str">
        <f t="shared" ref="N13:N22" si="3">_xlfn.TEXTBEFORE(P13,"～")</f>
        <v>0.25</v>
      </c>
      <c r="O13" s="3" t="str">
        <f t="shared" ref="O13:O22" si="4">_xlfn.TEXTAFTER(P13,"～")</f>
        <v>0.4</v>
      </c>
      <c r="P13" s="3" t="s">
        <v>130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">
        <v>376</v>
      </c>
      <c r="AD13" s="3" t="s">
        <v>381</v>
      </c>
      <c r="AE13" s="3">
        <v>150</v>
      </c>
      <c r="AF13" s="3">
        <v>150</v>
      </c>
      <c r="AG13" s="7" t="s">
        <v>131</v>
      </c>
      <c r="AH13" s="3"/>
      <c r="AI13" s="3">
        <v>10000</v>
      </c>
      <c r="AJ13" s="3">
        <v>10000</v>
      </c>
      <c r="AK13" s="1" t="s">
        <v>415</v>
      </c>
      <c r="AL13" s="3" t="s">
        <v>78</v>
      </c>
      <c r="AM13" s="3"/>
      <c r="AN13" s="3" t="s">
        <v>348</v>
      </c>
    </row>
    <row r="14" spans="1:40" x14ac:dyDescent="0.45">
      <c r="A14" s="3">
        <v>13</v>
      </c>
      <c r="B14" s="3" t="s">
        <v>323</v>
      </c>
      <c r="C14" s="10">
        <v>45120</v>
      </c>
      <c r="D14" s="3" t="s">
        <v>46</v>
      </c>
      <c r="E14" s="3" t="s">
        <v>7</v>
      </c>
      <c r="F14" s="3" t="s">
        <v>423</v>
      </c>
      <c r="G14" s="7"/>
      <c r="H14" s="1" t="s">
        <v>340</v>
      </c>
      <c r="I14" s="1" t="s">
        <v>64</v>
      </c>
      <c r="J14" s="3" t="s">
        <v>47</v>
      </c>
      <c r="K14" s="3" t="s">
        <v>45</v>
      </c>
      <c r="L14" s="3"/>
      <c r="M14" s="3"/>
      <c r="N14" s="3" t="str">
        <f t="shared" si="3"/>
        <v>0.4</v>
      </c>
      <c r="O14" s="3" t="str">
        <f t="shared" si="4"/>
        <v>0.6（1以下でも検討可能）</v>
      </c>
      <c r="P14" s="5" t="s">
        <v>132</v>
      </c>
      <c r="Q14" s="5"/>
      <c r="R14" s="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7" t="s">
        <v>10</v>
      </c>
      <c r="AH14" s="3"/>
      <c r="AI14" s="3">
        <v>10000</v>
      </c>
      <c r="AJ14" s="3">
        <v>10000</v>
      </c>
      <c r="AK14" s="1" t="s">
        <v>415</v>
      </c>
      <c r="AL14" s="5" t="s">
        <v>133</v>
      </c>
      <c r="AM14" s="3"/>
      <c r="AN14" s="3"/>
    </row>
    <row r="15" spans="1:40" x14ac:dyDescent="0.45">
      <c r="A15" s="3">
        <v>14</v>
      </c>
      <c r="B15" s="3" t="s">
        <v>323</v>
      </c>
      <c r="C15" s="10">
        <v>45120</v>
      </c>
      <c r="D15" s="3" t="s">
        <v>134</v>
      </c>
      <c r="E15" s="3" t="s">
        <v>7</v>
      </c>
      <c r="F15" s="3" t="s">
        <v>423</v>
      </c>
      <c r="G15" s="7"/>
      <c r="H15" s="3" t="s">
        <v>346</v>
      </c>
      <c r="I15" s="1" t="s">
        <v>64</v>
      </c>
      <c r="J15" s="3" t="s">
        <v>47</v>
      </c>
      <c r="K15" s="3"/>
      <c r="L15" s="3"/>
      <c r="M15" s="3"/>
      <c r="N15" s="3" t="str">
        <f t="shared" si="3"/>
        <v>0.3</v>
      </c>
      <c r="O15" s="3" t="str">
        <f t="shared" si="4"/>
        <v>0.7</v>
      </c>
      <c r="P15" s="3" t="s">
        <v>57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2" t="s">
        <v>384</v>
      </c>
      <c r="AD15" s="2" t="s">
        <v>382</v>
      </c>
      <c r="AE15" s="2">
        <v>200</v>
      </c>
      <c r="AF15" s="2">
        <v>200</v>
      </c>
      <c r="AG15" s="7" t="s">
        <v>136</v>
      </c>
      <c r="AH15" s="3"/>
      <c r="AI15" s="3">
        <v>32000</v>
      </c>
      <c r="AJ15" s="3">
        <v>50000</v>
      </c>
      <c r="AK15" s="1" t="s">
        <v>415</v>
      </c>
      <c r="AL15" s="3" t="s">
        <v>137</v>
      </c>
      <c r="AM15" s="3"/>
      <c r="AN15" s="3" t="s">
        <v>135</v>
      </c>
    </row>
    <row r="16" spans="1:40" x14ac:dyDescent="0.45">
      <c r="A16" s="3">
        <v>15</v>
      </c>
      <c r="B16" s="3" t="s">
        <v>323</v>
      </c>
      <c r="C16" s="10">
        <v>45120</v>
      </c>
      <c r="D16" s="3" t="s">
        <v>134</v>
      </c>
      <c r="E16" s="3" t="s">
        <v>7</v>
      </c>
      <c r="F16" s="3" t="s">
        <v>423</v>
      </c>
      <c r="G16" s="7"/>
      <c r="H16" s="3" t="s">
        <v>346</v>
      </c>
      <c r="I16" s="1" t="s">
        <v>64</v>
      </c>
      <c r="J16" s="3" t="s">
        <v>47</v>
      </c>
      <c r="K16" s="3"/>
      <c r="L16" s="3"/>
      <c r="M16" s="3"/>
      <c r="N16" s="3" t="str">
        <f t="shared" si="3"/>
        <v>0.02</v>
      </c>
      <c r="O16" s="3" t="str">
        <f t="shared" si="4"/>
        <v>0.04</v>
      </c>
      <c r="P16" s="3" t="s">
        <v>138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2" t="s">
        <v>384</v>
      </c>
      <c r="AD16" s="2" t="s">
        <v>382</v>
      </c>
      <c r="AE16" s="2">
        <v>200</v>
      </c>
      <c r="AF16" s="2">
        <v>200</v>
      </c>
      <c r="AG16" s="7" t="s">
        <v>140</v>
      </c>
      <c r="AH16" s="3"/>
      <c r="AI16" s="3">
        <v>32000</v>
      </c>
      <c r="AJ16" s="3">
        <v>50000</v>
      </c>
      <c r="AK16" s="1" t="s">
        <v>415</v>
      </c>
      <c r="AL16" s="3" t="s">
        <v>137</v>
      </c>
      <c r="AM16" s="3"/>
      <c r="AN16" s="3" t="s">
        <v>139</v>
      </c>
    </row>
    <row r="17" spans="1:40" x14ac:dyDescent="0.45">
      <c r="A17" s="3">
        <v>16</v>
      </c>
      <c r="B17" s="3" t="s">
        <v>323</v>
      </c>
      <c r="C17" s="10">
        <v>45128</v>
      </c>
      <c r="D17" s="3" t="s">
        <v>49</v>
      </c>
      <c r="E17" s="3" t="s">
        <v>7</v>
      </c>
      <c r="F17" s="3" t="s">
        <v>423</v>
      </c>
      <c r="G17" s="7"/>
      <c r="H17" s="3"/>
      <c r="I17" s="1" t="s">
        <v>64</v>
      </c>
      <c r="J17" s="3"/>
      <c r="K17" s="3"/>
      <c r="L17" s="3"/>
      <c r="M17" s="3"/>
      <c r="N17" s="3">
        <v>0.5</v>
      </c>
      <c r="O17" s="3">
        <v>1.5</v>
      </c>
      <c r="P17" s="3" t="s">
        <v>141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7"/>
      <c r="AH17" s="3"/>
      <c r="AI17" s="3">
        <v>10000</v>
      </c>
      <c r="AJ17" s="3">
        <v>13000</v>
      </c>
      <c r="AK17" s="1" t="s">
        <v>415</v>
      </c>
      <c r="AL17" s="3" t="s">
        <v>143</v>
      </c>
      <c r="AM17" s="3"/>
      <c r="AN17" s="3" t="s">
        <v>142</v>
      </c>
    </row>
    <row r="18" spans="1:40" x14ac:dyDescent="0.45">
      <c r="A18" s="3">
        <v>17</v>
      </c>
      <c r="B18" s="3" t="s">
        <v>323</v>
      </c>
      <c r="C18" s="10">
        <v>45183</v>
      </c>
      <c r="D18" s="3" t="s">
        <v>144</v>
      </c>
      <c r="E18" s="3" t="s">
        <v>5</v>
      </c>
      <c r="F18" s="3" t="s">
        <v>423</v>
      </c>
      <c r="G18" s="7"/>
      <c r="H18" s="3" t="s">
        <v>346</v>
      </c>
      <c r="I18" s="1" t="s">
        <v>64</v>
      </c>
      <c r="J18" s="3" t="s">
        <v>47</v>
      </c>
      <c r="K18" s="3" t="s">
        <v>45</v>
      </c>
      <c r="L18" s="3" t="s">
        <v>6</v>
      </c>
      <c r="M18" s="3"/>
      <c r="N18" s="3" t="str">
        <f t="shared" si="3"/>
        <v>1</v>
      </c>
      <c r="O18" s="3" t="str">
        <f t="shared" si="4"/>
        <v>2前後</v>
      </c>
      <c r="P18" s="3" t="s">
        <v>145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7"/>
      <c r="AH18" s="3"/>
      <c r="AI18" s="3">
        <v>6000</v>
      </c>
      <c r="AJ18" s="3">
        <v>6000</v>
      </c>
      <c r="AK18" s="1" t="s">
        <v>415</v>
      </c>
      <c r="AL18" s="3" t="s">
        <v>146</v>
      </c>
      <c r="AM18" s="3"/>
      <c r="AN18" s="3"/>
    </row>
    <row r="19" spans="1:40" x14ac:dyDescent="0.45">
      <c r="A19" s="3">
        <v>18</v>
      </c>
      <c r="B19" s="3" t="s">
        <v>323</v>
      </c>
      <c r="C19" s="10">
        <v>45183</v>
      </c>
      <c r="D19" s="3" t="s">
        <v>144</v>
      </c>
      <c r="E19" s="3" t="s">
        <v>5</v>
      </c>
      <c r="F19" s="3" t="s">
        <v>424</v>
      </c>
      <c r="G19" s="7"/>
      <c r="H19" s="3" t="s">
        <v>346</v>
      </c>
      <c r="I19" s="1" t="s">
        <v>64</v>
      </c>
      <c r="J19" s="3" t="s">
        <v>47</v>
      </c>
      <c r="K19" s="3" t="s">
        <v>45</v>
      </c>
      <c r="L19" s="3" t="s">
        <v>6</v>
      </c>
      <c r="M19" s="3"/>
      <c r="N19" s="3" t="str">
        <f t="shared" si="3"/>
        <v>1</v>
      </c>
      <c r="O19" s="3" t="str">
        <f t="shared" si="4"/>
        <v>2前後</v>
      </c>
      <c r="P19" s="3" t="s">
        <v>145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7"/>
      <c r="AH19" s="3"/>
      <c r="AI19" s="3">
        <v>7000</v>
      </c>
      <c r="AJ19" s="3">
        <v>7000</v>
      </c>
      <c r="AK19" s="1" t="s">
        <v>415</v>
      </c>
      <c r="AL19" s="3" t="s">
        <v>147</v>
      </c>
      <c r="AM19" s="3"/>
      <c r="AN19" s="3"/>
    </row>
    <row r="20" spans="1:40" x14ac:dyDescent="0.45">
      <c r="A20" s="3">
        <v>19</v>
      </c>
      <c r="B20" s="3" t="s">
        <v>323</v>
      </c>
      <c r="C20" s="10">
        <v>45183</v>
      </c>
      <c r="D20" s="3" t="s">
        <v>144</v>
      </c>
      <c r="E20" s="3" t="s">
        <v>5</v>
      </c>
      <c r="F20" s="1" t="s">
        <v>425</v>
      </c>
      <c r="G20" s="6"/>
      <c r="H20" s="3" t="s">
        <v>346</v>
      </c>
      <c r="I20" s="1" t="s">
        <v>64</v>
      </c>
      <c r="J20" s="3" t="s">
        <v>47</v>
      </c>
      <c r="K20" s="3" t="s">
        <v>45</v>
      </c>
      <c r="L20" s="3" t="s">
        <v>6</v>
      </c>
      <c r="M20" s="3"/>
      <c r="N20" s="3" t="str">
        <f t="shared" si="3"/>
        <v>1</v>
      </c>
      <c r="O20" s="3" t="str">
        <f t="shared" si="4"/>
        <v>2前後</v>
      </c>
      <c r="P20" s="3" t="s">
        <v>145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7"/>
      <c r="AH20" s="3"/>
      <c r="AI20" s="3">
        <v>8000</v>
      </c>
      <c r="AJ20" s="3">
        <v>8000</v>
      </c>
      <c r="AK20" s="1" t="s">
        <v>415</v>
      </c>
      <c r="AL20" s="3" t="s">
        <v>148</v>
      </c>
      <c r="AM20" s="3"/>
      <c r="AN20" s="3"/>
    </row>
    <row r="21" spans="1:40" x14ac:dyDescent="0.45">
      <c r="A21" s="3">
        <v>20</v>
      </c>
      <c r="B21" s="3" t="s">
        <v>323</v>
      </c>
      <c r="C21" s="10">
        <v>45184</v>
      </c>
      <c r="D21" s="3" t="s">
        <v>56</v>
      </c>
      <c r="E21" s="3" t="s">
        <v>4</v>
      </c>
      <c r="F21" s="3" t="s">
        <v>423</v>
      </c>
      <c r="G21" s="7"/>
      <c r="H21" s="1" t="s">
        <v>340</v>
      </c>
      <c r="I21" s="1" t="s">
        <v>64</v>
      </c>
      <c r="J21" s="3" t="s">
        <v>48</v>
      </c>
      <c r="K21" s="3"/>
      <c r="L21" s="3"/>
      <c r="M21" s="3"/>
      <c r="N21" s="3">
        <v>29</v>
      </c>
      <c r="O21" s="3">
        <v>31</v>
      </c>
      <c r="P21" s="3" t="s">
        <v>88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">
        <v>376</v>
      </c>
      <c r="AD21" s="7" t="s">
        <v>149</v>
      </c>
      <c r="AE21" s="3"/>
      <c r="AF21" s="3"/>
      <c r="AG21" s="7" t="s">
        <v>149</v>
      </c>
      <c r="AH21" s="3"/>
      <c r="AI21" s="3">
        <v>4000</v>
      </c>
      <c r="AJ21" s="3">
        <v>4000</v>
      </c>
      <c r="AK21" s="1" t="s">
        <v>415</v>
      </c>
      <c r="AL21" s="3" t="s">
        <v>150</v>
      </c>
      <c r="AM21" s="3"/>
      <c r="AN21" s="3"/>
    </row>
    <row r="22" spans="1:40" x14ac:dyDescent="0.45">
      <c r="A22" s="3">
        <v>21</v>
      </c>
      <c r="B22" s="3" t="s">
        <v>323</v>
      </c>
      <c r="C22" s="10">
        <v>45190</v>
      </c>
      <c r="D22" s="3" t="s">
        <v>151</v>
      </c>
      <c r="E22" s="3" t="s">
        <v>7</v>
      </c>
      <c r="F22" s="3" t="s">
        <v>330</v>
      </c>
      <c r="G22" s="7"/>
      <c r="H22" s="3" t="s">
        <v>75</v>
      </c>
      <c r="I22" s="1" t="s">
        <v>64</v>
      </c>
      <c r="J22" s="3" t="s">
        <v>47</v>
      </c>
      <c r="K22" s="3"/>
      <c r="L22" s="3"/>
      <c r="M22" s="3"/>
      <c r="N22" s="3" t="str">
        <f t="shared" si="3"/>
        <v>3</v>
      </c>
      <c r="O22" s="3" t="str">
        <f t="shared" si="4"/>
        <v>5希望</v>
      </c>
      <c r="P22" s="3" t="s">
        <v>152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2" t="s">
        <v>384</v>
      </c>
      <c r="AD22" s="3" t="s">
        <v>380</v>
      </c>
      <c r="AE22" s="3">
        <v>105</v>
      </c>
      <c r="AF22" s="3">
        <v>105</v>
      </c>
      <c r="AG22" s="7" t="s">
        <v>153</v>
      </c>
      <c r="AH22" s="3"/>
      <c r="AI22" s="3">
        <v>16000</v>
      </c>
      <c r="AJ22" s="3">
        <v>16000</v>
      </c>
      <c r="AK22" s="1" t="s">
        <v>415</v>
      </c>
      <c r="AL22" s="3" t="s">
        <v>154</v>
      </c>
      <c r="AM22" s="3"/>
      <c r="AN22" s="3" t="s">
        <v>374</v>
      </c>
    </row>
    <row r="23" spans="1:40" x14ac:dyDescent="0.45">
      <c r="A23" s="3">
        <v>22</v>
      </c>
      <c r="B23" s="3" t="s">
        <v>323</v>
      </c>
      <c r="C23" s="10">
        <v>45190</v>
      </c>
      <c r="D23" s="3" t="s">
        <v>51</v>
      </c>
      <c r="E23" s="3" t="s">
        <v>15</v>
      </c>
      <c r="F23" s="3" t="s">
        <v>8</v>
      </c>
      <c r="G23" s="7"/>
      <c r="H23" s="1" t="s">
        <v>340</v>
      </c>
      <c r="I23" s="1" t="s">
        <v>64</v>
      </c>
      <c r="J23" s="3" t="s">
        <v>72</v>
      </c>
      <c r="K23" s="3" t="s">
        <v>45</v>
      </c>
      <c r="L23" s="3" t="s">
        <v>359</v>
      </c>
      <c r="M23" s="3">
        <v>25</v>
      </c>
      <c r="N23" s="3">
        <v>40</v>
      </c>
      <c r="O23" s="3"/>
      <c r="P23" s="3" t="s">
        <v>155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2" t="s">
        <v>384</v>
      </c>
      <c r="AD23" s="3"/>
      <c r="AE23" s="3"/>
      <c r="AF23" s="3">
        <v>120</v>
      </c>
      <c r="AG23" s="7" t="s">
        <v>156</v>
      </c>
      <c r="AH23" s="3"/>
      <c r="AI23" s="3"/>
      <c r="AJ23" s="3"/>
      <c r="AK23" s="3"/>
      <c r="AL23" s="3"/>
      <c r="AM23" s="3"/>
      <c r="AN23" s="3" t="s">
        <v>373</v>
      </c>
    </row>
    <row r="24" spans="1:40" x14ac:dyDescent="0.45">
      <c r="A24" s="3">
        <v>23</v>
      </c>
      <c r="B24" s="3" t="s">
        <v>323</v>
      </c>
      <c r="C24" s="10">
        <v>45216</v>
      </c>
      <c r="D24" s="3" t="s">
        <v>11</v>
      </c>
      <c r="E24" s="3" t="s">
        <v>4</v>
      </c>
      <c r="F24" s="3" t="s">
        <v>2</v>
      </c>
      <c r="G24" s="7"/>
      <c r="H24" s="1" t="s">
        <v>340</v>
      </c>
      <c r="I24" s="3" t="s">
        <v>67</v>
      </c>
      <c r="J24" s="3" t="s">
        <v>157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7"/>
      <c r="AH24" s="3"/>
      <c r="AI24" s="3"/>
      <c r="AJ24" s="3"/>
      <c r="AK24" s="3"/>
      <c r="AL24" s="3"/>
      <c r="AM24" s="3"/>
      <c r="AN24" s="3"/>
    </row>
    <row r="25" spans="1:40" x14ac:dyDescent="0.45">
      <c r="A25" s="3">
        <v>24</v>
      </c>
      <c r="B25" s="3" t="s">
        <v>323</v>
      </c>
      <c r="C25" s="10">
        <v>45230</v>
      </c>
      <c r="D25" s="3" t="s">
        <v>158</v>
      </c>
      <c r="E25" s="3" t="s">
        <v>4</v>
      </c>
      <c r="F25" s="3" t="s">
        <v>2</v>
      </c>
      <c r="G25" s="7" t="s">
        <v>33</v>
      </c>
      <c r="H25" s="1" t="s">
        <v>340</v>
      </c>
      <c r="I25" s="1" t="s">
        <v>64</v>
      </c>
      <c r="J25" s="3" t="s">
        <v>157</v>
      </c>
      <c r="K25" s="3"/>
      <c r="L25" s="3"/>
      <c r="M25" s="3"/>
      <c r="N25" s="3" t="str">
        <f t="shared" ref="N25:N32" si="5">_xlfn.TEXTBEFORE(P25,"～")</f>
        <v>20</v>
      </c>
      <c r="O25" s="3" t="str">
        <f t="shared" ref="O25:O32" si="6">_xlfn.TEXTAFTER(P25,"～")</f>
        <v>30</v>
      </c>
      <c r="P25" s="3" t="s">
        <v>159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 t="s">
        <v>376</v>
      </c>
      <c r="AD25" s="3" t="s">
        <v>385</v>
      </c>
      <c r="AE25" s="3">
        <v>180</v>
      </c>
      <c r="AF25" s="3">
        <v>180</v>
      </c>
      <c r="AG25" s="7" t="s">
        <v>160</v>
      </c>
      <c r="AH25" s="3"/>
      <c r="AI25" s="3">
        <v>1000</v>
      </c>
      <c r="AJ25" s="3">
        <v>2000</v>
      </c>
      <c r="AK25" s="1" t="s">
        <v>415</v>
      </c>
      <c r="AL25" s="3" t="s">
        <v>161</v>
      </c>
      <c r="AM25" s="3"/>
      <c r="AN25" s="3" t="s">
        <v>162</v>
      </c>
    </row>
    <row r="26" spans="1:40" x14ac:dyDescent="0.45">
      <c r="A26" s="3">
        <v>25</v>
      </c>
      <c r="B26" s="3" t="s">
        <v>323</v>
      </c>
      <c r="C26" s="10">
        <v>45230</v>
      </c>
      <c r="D26" s="3" t="s">
        <v>11</v>
      </c>
      <c r="E26" s="3" t="s">
        <v>4</v>
      </c>
      <c r="F26" s="3" t="s">
        <v>423</v>
      </c>
      <c r="G26" s="7"/>
      <c r="H26" s="3" t="s">
        <v>66</v>
      </c>
      <c r="I26" s="1" t="s">
        <v>64</v>
      </c>
      <c r="J26" s="3" t="s">
        <v>95</v>
      </c>
      <c r="K26" s="3"/>
      <c r="L26" s="3"/>
      <c r="M26" s="3"/>
      <c r="N26" s="3"/>
      <c r="O26" s="3">
        <v>0.3</v>
      </c>
      <c r="P26" s="3" t="s">
        <v>163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7"/>
      <c r="AH26" s="3"/>
      <c r="AI26" s="3"/>
      <c r="AJ26" s="3"/>
      <c r="AK26" s="3"/>
      <c r="AL26" s="3"/>
      <c r="AM26" s="3"/>
      <c r="AN26" s="3" t="s">
        <v>164</v>
      </c>
    </row>
    <row r="27" spans="1:40" x14ac:dyDescent="0.45">
      <c r="A27" s="3">
        <v>26</v>
      </c>
      <c r="B27" s="3" t="s">
        <v>323</v>
      </c>
      <c r="C27" s="10">
        <v>45230</v>
      </c>
      <c r="D27" s="3" t="s">
        <v>11</v>
      </c>
      <c r="E27" s="3" t="s">
        <v>4</v>
      </c>
      <c r="F27" s="3" t="s">
        <v>2</v>
      </c>
      <c r="G27" s="7" t="s">
        <v>3</v>
      </c>
      <c r="H27" s="3" t="s">
        <v>346</v>
      </c>
      <c r="I27" s="1" t="s">
        <v>64</v>
      </c>
      <c r="J27" s="3"/>
      <c r="K27" s="3"/>
      <c r="L27" s="3"/>
      <c r="M27" s="3"/>
      <c r="N27" s="3">
        <v>10</v>
      </c>
      <c r="O27" s="3"/>
      <c r="P27" s="3" t="s">
        <v>43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 t="s">
        <v>376</v>
      </c>
      <c r="AD27" s="3" t="s">
        <v>378</v>
      </c>
      <c r="AE27" s="3">
        <v>60</v>
      </c>
      <c r="AF27" s="3">
        <v>60</v>
      </c>
      <c r="AG27" s="7" t="s">
        <v>165</v>
      </c>
      <c r="AH27" s="3"/>
      <c r="AI27" s="3"/>
      <c r="AJ27" s="3"/>
      <c r="AK27" s="3"/>
      <c r="AL27" s="3"/>
      <c r="AM27" s="3"/>
      <c r="AN27" s="3" t="s">
        <v>342</v>
      </c>
    </row>
    <row r="28" spans="1:40" x14ac:dyDescent="0.45">
      <c r="A28" s="3">
        <v>27</v>
      </c>
      <c r="B28" s="3" t="s">
        <v>323</v>
      </c>
      <c r="C28" s="10">
        <v>45257</v>
      </c>
      <c r="D28" s="3" t="s">
        <v>166</v>
      </c>
      <c r="E28" s="3" t="s">
        <v>7</v>
      </c>
      <c r="F28" s="3" t="s">
        <v>8</v>
      </c>
      <c r="G28" s="7" t="s">
        <v>167</v>
      </c>
      <c r="H28" s="1" t="s">
        <v>340</v>
      </c>
      <c r="I28" s="1" t="s">
        <v>64</v>
      </c>
      <c r="J28" s="3"/>
      <c r="K28" s="3"/>
      <c r="L28" s="3"/>
      <c r="M28" s="3"/>
      <c r="N28" s="3" t="str">
        <f t="shared" si="5"/>
        <v>20</v>
      </c>
      <c r="O28" s="3" t="str">
        <f t="shared" si="6"/>
        <v>40</v>
      </c>
      <c r="P28" s="3" t="s">
        <v>168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 t="s">
        <v>376</v>
      </c>
      <c r="AD28" s="3" t="s">
        <v>383</v>
      </c>
      <c r="AE28" s="3">
        <v>140</v>
      </c>
      <c r="AF28" s="3">
        <v>140</v>
      </c>
      <c r="AG28" s="7" t="s">
        <v>169</v>
      </c>
      <c r="AH28" s="3"/>
      <c r="AI28" s="3">
        <v>10000</v>
      </c>
      <c r="AJ28" s="3">
        <v>10000</v>
      </c>
      <c r="AK28" s="1" t="s">
        <v>415</v>
      </c>
      <c r="AL28" s="3" t="s">
        <v>78</v>
      </c>
      <c r="AM28" s="3"/>
      <c r="AN28" s="3"/>
    </row>
    <row r="29" spans="1:40" x14ac:dyDescent="0.45">
      <c r="A29" s="3">
        <v>28</v>
      </c>
      <c r="B29" s="3" t="s">
        <v>323</v>
      </c>
      <c r="C29" s="10">
        <v>45257</v>
      </c>
      <c r="D29" s="3" t="s">
        <v>166</v>
      </c>
      <c r="E29" s="3" t="s">
        <v>7</v>
      </c>
      <c r="F29" s="3" t="s">
        <v>8</v>
      </c>
      <c r="G29" s="7" t="s">
        <v>13</v>
      </c>
      <c r="H29" s="1" t="s">
        <v>340</v>
      </c>
      <c r="I29" s="1" t="s">
        <v>64</v>
      </c>
      <c r="J29" s="3"/>
      <c r="K29" s="3"/>
      <c r="L29" s="3"/>
      <c r="M29" s="3"/>
      <c r="N29" s="3" t="str">
        <f t="shared" si="5"/>
        <v>20</v>
      </c>
      <c r="O29" s="3" t="str">
        <f t="shared" si="6"/>
        <v>40</v>
      </c>
      <c r="P29" s="3" t="s">
        <v>168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 t="s">
        <v>376</v>
      </c>
      <c r="AD29" s="3" t="s">
        <v>383</v>
      </c>
      <c r="AE29" s="3">
        <v>180</v>
      </c>
      <c r="AF29" s="3">
        <v>180</v>
      </c>
      <c r="AG29" s="7" t="s">
        <v>386</v>
      </c>
      <c r="AH29" s="3"/>
      <c r="AI29" s="3">
        <v>10000</v>
      </c>
      <c r="AJ29" s="3">
        <v>10000</v>
      </c>
      <c r="AK29" s="1" t="s">
        <v>415</v>
      </c>
      <c r="AL29" s="3" t="s">
        <v>78</v>
      </c>
      <c r="AM29" s="3"/>
      <c r="AN29" s="3"/>
    </row>
    <row r="30" spans="1:40" x14ac:dyDescent="0.45">
      <c r="A30" s="3">
        <v>29</v>
      </c>
      <c r="B30" s="3" t="s">
        <v>323</v>
      </c>
      <c r="C30" s="10">
        <v>45257</v>
      </c>
      <c r="D30" s="3" t="s">
        <v>166</v>
      </c>
      <c r="E30" s="3" t="s">
        <v>7</v>
      </c>
      <c r="F30" s="3" t="s">
        <v>426</v>
      </c>
      <c r="G30" s="7"/>
      <c r="H30" s="3" t="s">
        <v>346</v>
      </c>
      <c r="I30" s="1" t="s">
        <v>64</v>
      </c>
      <c r="J30" s="3"/>
      <c r="K30" s="3"/>
      <c r="L30" s="3"/>
      <c r="M30" s="3"/>
      <c r="N30" s="3" t="str">
        <f t="shared" si="5"/>
        <v>12</v>
      </c>
      <c r="O30" s="3" t="str">
        <f t="shared" si="6"/>
        <v>13</v>
      </c>
      <c r="P30" s="3" t="s">
        <v>170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 t="s">
        <v>376</v>
      </c>
      <c r="AD30" s="3" t="s">
        <v>387</v>
      </c>
      <c r="AE30" s="3">
        <v>85</v>
      </c>
      <c r="AF30" s="3">
        <v>85</v>
      </c>
      <c r="AG30" s="7" t="s">
        <v>171</v>
      </c>
      <c r="AH30" s="3"/>
      <c r="AI30" s="3"/>
      <c r="AJ30" s="3"/>
      <c r="AK30" s="1" t="s">
        <v>415</v>
      </c>
      <c r="AL30" s="3" t="s">
        <v>172</v>
      </c>
      <c r="AM30" s="3"/>
      <c r="AN30" s="3"/>
    </row>
    <row r="31" spans="1:40" x14ac:dyDescent="0.45">
      <c r="A31" s="3">
        <v>30</v>
      </c>
      <c r="B31" s="3" t="s">
        <v>323</v>
      </c>
      <c r="C31" s="10">
        <v>45257</v>
      </c>
      <c r="D31" s="3" t="s">
        <v>166</v>
      </c>
      <c r="E31" s="3" t="s">
        <v>7</v>
      </c>
      <c r="F31" s="3" t="s">
        <v>427</v>
      </c>
      <c r="G31" s="7"/>
      <c r="H31" s="3" t="s">
        <v>346</v>
      </c>
      <c r="I31" s="1" t="s">
        <v>64</v>
      </c>
      <c r="J31" s="3"/>
      <c r="K31" s="3"/>
      <c r="L31" s="3"/>
      <c r="M31" s="3"/>
      <c r="N31" s="3" t="str">
        <f t="shared" si="5"/>
        <v>12</v>
      </c>
      <c r="O31" s="3" t="str">
        <f t="shared" si="6"/>
        <v>13</v>
      </c>
      <c r="P31" s="3" t="s">
        <v>170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 t="s">
        <v>376</v>
      </c>
      <c r="AD31" s="3" t="s">
        <v>387</v>
      </c>
      <c r="AE31" s="3">
        <v>110</v>
      </c>
      <c r="AF31" s="3">
        <v>110</v>
      </c>
      <c r="AG31" s="7" t="s">
        <v>173</v>
      </c>
      <c r="AH31" s="3"/>
      <c r="AI31" s="3"/>
      <c r="AJ31" s="3"/>
      <c r="AK31" s="1" t="s">
        <v>415</v>
      </c>
      <c r="AL31" s="3" t="s">
        <v>172</v>
      </c>
      <c r="AM31" s="3"/>
      <c r="AN31" s="3"/>
    </row>
    <row r="32" spans="1:40" x14ac:dyDescent="0.45">
      <c r="A32" s="3">
        <v>31</v>
      </c>
      <c r="B32" s="3" t="s">
        <v>323</v>
      </c>
      <c r="C32" s="10">
        <v>45257</v>
      </c>
      <c r="D32" s="3" t="s">
        <v>166</v>
      </c>
      <c r="E32" s="3" t="s">
        <v>7</v>
      </c>
      <c r="F32" s="3" t="s">
        <v>427</v>
      </c>
      <c r="G32" s="7"/>
      <c r="H32" s="3" t="s">
        <v>346</v>
      </c>
      <c r="I32" s="1" t="s">
        <v>64</v>
      </c>
      <c r="J32" s="3"/>
      <c r="K32" s="3"/>
      <c r="L32" s="3"/>
      <c r="M32" s="3"/>
      <c r="N32" s="3" t="str">
        <f t="shared" si="5"/>
        <v>15</v>
      </c>
      <c r="O32" s="3" t="str">
        <f t="shared" si="6"/>
        <v/>
      </c>
      <c r="P32" s="3" t="s">
        <v>174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 t="s">
        <v>376</v>
      </c>
      <c r="AD32" s="3" t="s">
        <v>387</v>
      </c>
      <c r="AE32" s="3">
        <v>130</v>
      </c>
      <c r="AF32" s="3">
        <v>130</v>
      </c>
      <c r="AG32" s="7" t="s">
        <v>175</v>
      </c>
      <c r="AH32" s="3"/>
      <c r="AI32" s="3"/>
      <c r="AJ32" s="3"/>
      <c r="AK32" s="1" t="s">
        <v>415</v>
      </c>
      <c r="AL32" s="3" t="s">
        <v>172</v>
      </c>
      <c r="AM32" s="3"/>
      <c r="AN32" s="3"/>
    </row>
    <row r="33" spans="1:40" ht="18.75" customHeight="1" x14ac:dyDescent="0.45">
      <c r="A33" s="3">
        <v>32</v>
      </c>
      <c r="B33" s="3" t="s">
        <v>323</v>
      </c>
      <c r="C33" s="10">
        <v>45297</v>
      </c>
      <c r="D33" s="3" t="s">
        <v>176</v>
      </c>
      <c r="E33" s="3" t="s">
        <v>15</v>
      </c>
      <c r="F33" s="3" t="s">
        <v>8</v>
      </c>
      <c r="G33" s="7"/>
      <c r="H33" s="3" t="s">
        <v>346</v>
      </c>
      <c r="I33" s="3" t="s">
        <v>70</v>
      </c>
      <c r="J33" s="3"/>
      <c r="K33" s="3" t="s">
        <v>45</v>
      </c>
      <c r="L33" s="3" t="s">
        <v>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7"/>
      <c r="AH33" s="3"/>
      <c r="AI33" s="3">
        <v>13000</v>
      </c>
      <c r="AJ33" s="3">
        <v>13000</v>
      </c>
      <c r="AK33" s="1" t="s">
        <v>415</v>
      </c>
      <c r="AL33" s="3" t="s">
        <v>177</v>
      </c>
      <c r="AM33" s="3"/>
      <c r="AN33" s="5" t="s">
        <v>331</v>
      </c>
    </row>
    <row r="34" spans="1:40" x14ac:dyDescent="0.45">
      <c r="A34" s="3">
        <v>33</v>
      </c>
      <c r="B34" s="3" t="s">
        <v>313</v>
      </c>
      <c r="C34" s="10">
        <v>45306</v>
      </c>
      <c r="D34" s="3" t="s">
        <v>178</v>
      </c>
      <c r="E34" s="3" t="s">
        <v>4</v>
      </c>
      <c r="F34" s="3" t="s">
        <v>424</v>
      </c>
      <c r="G34" s="7"/>
      <c r="H34" s="1" t="s">
        <v>340</v>
      </c>
      <c r="I34" s="1" t="s">
        <v>64</v>
      </c>
      <c r="J34" s="3" t="s">
        <v>48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7"/>
      <c r="AH34" s="3"/>
      <c r="AI34" s="3">
        <v>250000</v>
      </c>
      <c r="AJ34" s="3">
        <v>250000</v>
      </c>
      <c r="AK34" s="3" t="s">
        <v>416</v>
      </c>
      <c r="AL34" s="3"/>
      <c r="AM34" s="3" t="s">
        <v>179</v>
      </c>
      <c r="AN34" s="5" t="s">
        <v>180</v>
      </c>
    </row>
    <row r="35" spans="1:40" x14ac:dyDescent="0.45">
      <c r="A35" s="3">
        <v>34</v>
      </c>
      <c r="B35" s="3" t="s">
        <v>323</v>
      </c>
      <c r="C35" s="10">
        <v>45323</v>
      </c>
      <c r="D35" s="3" t="s">
        <v>181</v>
      </c>
      <c r="E35" s="3" t="s">
        <v>85</v>
      </c>
      <c r="F35" s="3" t="s">
        <v>80</v>
      </c>
      <c r="G35" s="7"/>
      <c r="H35" s="3"/>
      <c r="I35" s="3"/>
      <c r="J35" s="3" t="s">
        <v>47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7"/>
      <c r="AH35" s="3"/>
      <c r="AI35" s="3"/>
      <c r="AJ35" s="3"/>
      <c r="AK35" s="3"/>
      <c r="AL35" s="3"/>
      <c r="AM35" s="3"/>
      <c r="AN35" s="3" t="s">
        <v>372</v>
      </c>
    </row>
    <row r="36" spans="1:40" ht="18" customHeight="1" x14ac:dyDescent="0.45">
      <c r="A36" s="3">
        <v>35</v>
      </c>
      <c r="B36" s="3" t="s">
        <v>323</v>
      </c>
      <c r="C36" s="10">
        <v>45342</v>
      </c>
      <c r="D36" s="3" t="s">
        <v>182</v>
      </c>
      <c r="E36" s="3" t="s">
        <v>5</v>
      </c>
      <c r="F36" s="3" t="s">
        <v>423</v>
      </c>
      <c r="G36" s="7"/>
      <c r="H36" s="3"/>
      <c r="I36" s="1" t="s">
        <v>64</v>
      </c>
      <c r="J36" s="3" t="s">
        <v>47</v>
      </c>
      <c r="K36" s="3" t="s">
        <v>45</v>
      </c>
      <c r="L36" s="3" t="s">
        <v>6</v>
      </c>
      <c r="M36" s="3"/>
      <c r="N36" s="3" t="str">
        <f>_xlfn.TEXTBEFORE(P36,"～")</f>
        <v>0.1</v>
      </c>
      <c r="O36" s="3" t="str">
        <f>_xlfn.TEXTAFTER(P36,"～")</f>
        <v>0.2</v>
      </c>
      <c r="P36" s="3" t="s">
        <v>183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 t="s">
        <v>376</v>
      </c>
      <c r="AD36" s="3" t="s">
        <v>388</v>
      </c>
      <c r="AE36" s="3">
        <v>150</v>
      </c>
      <c r="AF36" s="3">
        <v>150</v>
      </c>
      <c r="AG36" s="7" t="s">
        <v>184</v>
      </c>
      <c r="AH36" s="27"/>
      <c r="AI36" s="28">
        <v>13000</v>
      </c>
      <c r="AJ36" s="3">
        <v>13000</v>
      </c>
      <c r="AK36" s="1" t="s">
        <v>415</v>
      </c>
      <c r="AL36" s="28" t="s">
        <v>411</v>
      </c>
      <c r="AM36" s="29"/>
      <c r="AN36" s="3"/>
    </row>
    <row r="37" spans="1:40" x14ac:dyDescent="0.45">
      <c r="A37" s="3">
        <v>36</v>
      </c>
      <c r="B37" s="3" t="s">
        <v>323</v>
      </c>
      <c r="C37" s="10">
        <v>45350</v>
      </c>
      <c r="D37" s="3" t="s">
        <v>79</v>
      </c>
      <c r="E37" s="3" t="s">
        <v>5</v>
      </c>
      <c r="F37" s="3" t="s">
        <v>99</v>
      </c>
      <c r="G37" s="7"/>
      <c r="H37" s="3" t="s">
        <v>346</v>
      </c>
      <c r="I37" s="1" t="s">
        <v>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7"/>
      <c r="AH37" s="3"/>
      <c r="AI37" s="3">
        <v>5000</v>
      </c>
      <c r="AJ37" s="3">
        <v>10000</v>
      </c>
      <c r="AK37" s="1" t="s">
        <v>415</v>
      </c>
      <c r="AL37" s="3" t="s">
        <v>185</v>
      </c>
      <c r="AM37" s="3"/>
      <c r="AN37" s="3"/>
    </row>
    <row r="38" spans="1:40" x14ac:dyDescent="0.45">
      <c r="A38" s="3">
        <v>37</v>
      </c>
      <c r="B38" s="3" t="s">
        <v>323</v>
      </c>
      <c r="C38" s="10">
        <v>45357</v>
      </c>
      <c r="D38" s="3" t="s">
        <v>53</v>
      </c>
      <c r="E38" s="3" t="s">
        <v>54</v>
      </c>
      <c r="F38" s="3" t="s">
        <v>427</v>
      </c>
      <c r="G38" s="7"/>
      <c r="H38" s="1" t="s">
        <v>340</v>
      </c>
      <c r="I38" s="1" t="s">
        <v>64</v>
      </c>
      <c r="J38" s="3"/>
      <c r="K38" s="3"/>
      <c r="L38" s="3"/>
      <c r="M38" s="3"/>
      <c r="N38" s="3"/>
      <c r="O38" s="3"/>
      <c r="P38" s="3"/>
      <c r="Q38" s="3">
        <v>8</v>
      </c>
      <c r="R38" s="3"/>
      <c r="S38" s="3" t="s">
        <v>186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7"/>
      <c r="AH38" s="3"/>
      <c r="AI38" s="3">
        <v>25000</v>
      </c>
      <c r="AJ38" s="3"/>
      <c r="AK38" s="1" t="s">
        <v>415</v>
      </c>
      <c r="AL38" s="3" t="s">
        <v>55</v>
      </c>
      <c r="AM38" s="3"/>
      <c r="AN38" s="3" t="s">
        <v>187</v>
      </c>
    </row>
    <row r="39" spans="1:40" x14ac:dyDescent="0.45">
      <c r="A39" s="3">
        <v>38</v>
      </c>
      <c r="B39" s="3" t="s">
        <v>323</v>
      </c>
      <c r="C39" s="10">
        <v>45359</v>
      </c>
      <c r="D39" s="3" t="s">
        <v>188</v>
      </c>
      <c r="E39" s="3" t="s">
        <v>5</v>
      </c>
      <c r="F39" s="3" t="s">
        <v>424</v>
      </c>
      <c r="G39" s="7"/>
      <c r="H39" s="3" t="s">
        <v>69</v>
      </c>
      <c r="I39" s="1" t="s">
        <v>64</v>
      </c>
      <c r="J39" s="3" t="s">
        <v>47</v>
      </c>
      <c r="K39" s="3"/>
      <c r="L39" s="3"/>
      <c r="M39" s="3"/>
      <c r="N39" s="3" t="str">
        <f>_xlfn.TEXTBEFORE(P39,"～")</f>
        <v>0.8</v>
      </c>
      <c r="O39" s="3" t="str">
        <f>_xlfn.TEXTAFTER(P39,"～")</f>
        <v>1.3</v>
      </c>
      <c r="P39" s="3" t="s">
        <v>189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376</v>
      </c>
      <c r="AD39" s="3" t="s">
        <v>389</v>
      </c>
      <c r="AE39" s="3">
        <v>115</v>
      </c>
      <c r="AF39" s="3">
        <v>115</v>
      </c>
      <c r="AG39" s="7" t="s">
        <v>190</v>
      </c>
      <c r="AH39" s="3"/>
      <c r="AI39" s="3">
        <v>20000</v>
      </c>
      <c r="AJ39" s="3">
        <v>30000</v>
      </c>
      <c r="AK39" s="1" t="s">
        <v>415</v>
      </c>
      <c r="AL39" s="3" t="s">
        <v>191</v>
      </c>
      <c r="AM39" s="3"/>
      <c r="AN39" s="3" t="s">
        <v>192</v>
      </c>
    </row>
    <row r="40" spans="1:40" x14ac:dyDescent="0.45">
      <c r="A40" s="3">
        <v>39</v>
      </c>
      <c r="B40" s="3" t="s">
        <v>323</v>
      </c>
      <c r="C40" s="10">
        <v>45404</v>
      </c>
      <c r="D40" s="3" t="s">
        <v>52</v>
      </c>
      <c r="E40" s="3" t="s">
        <v>5</v>
      </c>
      <c r="F40" s="3" t="s">
        <v>73</v>
      </c>
      <c r="G40" s="7"/>
      <c r="H40" s="1" t="s">
        <v>340</v>
      </c>
      <c r="I40" s="1" t="s">
        <v>64</v>
      </c>
      <c r="J40" s="3"/>
      <c r="K40" s="3" t="s">
        <v>45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376</v>
      </c>
      <c r="AD40" s="3" t="s">
        <v>390</v>
      </c>
      <c r="AE40" s="3">
        <v>250</v>
      </c>
      <c r="AF40" s="3">
        <v>250</v>
      </c>
      <c r="AG40" s="7" t="s">
        <v>193</v>
      </c>
      <c r="AH40" s="3"/>
      <c r="AI40" s="3">
        <v>5000</v>
      </c>
      <c r="AJ40" s="3">
        <v>5000</v>
      </c>
      <c r="AK40" s="1" t="s">
        <v>415</v>
      </c>
      <c r="AL40" s="3" t="s">
        <v>100</v>
      </c>
      <c r="AM40" s="3"/>
      <c r="AN40" s="3" t="s">
        <v>371</v>
      </c>
    </row>
    <row r="41" spans="1:40" x14ac:dyDescent="0.45">
      <c r="A41" s="3">
        <v>40</v>
      </c>
      <c r="B41" s="3" t="s">
        <v>323</v>
      </c>
      <c r="C41" s="10">
        <v>45404</v>
      </c>
      <c r="D41" s="3" t="s">
        <v>52</v>
      </c>
      <c r="E41" s="3" t="s">
        <v>5</v>
      </c>
      <c r="F41" s="3" t="s">
        <v>29</v>
      </c>
      <c r="G41" s="7"/>
      <c r="H41" s="3" t="s">
        <v>69</v>
      </c>
      <c r="I41" s="1" t="s">
        <v>64</v>
      </c>
      <c r="J41" s="3"/>
      <c r="K41" s="3" t="s">
        <v>45</v>
      </c>
      <c r="L41" s="3" t="s">
        <v>6</v>
      </c>
      <c r="M41" s="3"/>
      <c r="N41" s="3" t="str">
        <f t="shared" ref="N41" si="7">_xlfn.TEXTBEFORE(P41,"～")</f>
        <v>20</v>
      </c>
      <c r="O41" s="3" t="str">
        <f t="shared" ref="O41" si="8">_xlfn.TEXTAFTER(P41,"～")</f>
        <v>30</v>
      </c>
      <c r="P41" s="3" t="s">
        <v>58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">
        <v>376</v>
      </c>
      <c r="AD41" s="3" t="s">
        <v>390</v>
      </c>
      <c r="AE41" s="3">
        <v>160</v>
      </c>
      <c r="AF41" s="3">
        <v>160</v>
      </c>
      <c r="AG41" s="7" t="s">
        <v>194</v>
      </c>
      <c r="AH41" s="3"/>
      <c r="AI41" s="3">
        <v>4000</v>
      </c>
      <c r="AJ41" s="3">
        <v>4000</v>
      </c>
      <c r="AK41" s="1" t="s">
        <v>415</v>
      </c>
      <c r="AL41" s="3" t="s">
        <v>195</v>
      </c>
      <c r="AM41" s="3"/>
      <c r="AN41" s="3"/>
    </row>
    <row r="42" spans="1:40" x14ac:dyDescent="0.45">
      <c r="A42" s="3">
        <v>41</v>
      </c>
      <c r="B42" s="3" t="s">
        <v>323</v>
      </c>
      <c r="C42" s="10">
        <v>45404</v>
      </c>
      <c r="D42" s="3" t="s">
        <v>52</v>
      </c>
      <c r="E42" s="3" t="s">
        <v>5</v>
      </c>
      <c r="F42" s="3" t="s">
        <v>426</v>
      </c>
      <c r="G42" s="7"/>
      <c r="H42" s="1" t="s">
        <v>340</v>
      </c>
      <c r="I42" s="1" t="s">
        <v>64</v>
      </c>
      <c r="J42" s="3"/>
      <c r="K42" s="3" t="s">
        <v>45</v>
      </c>
      <c r="L42" s="3" t="s">
        <v>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376</v>
      </c>
      <c r="AD42" s="3" t="s">
        <v>391</v>
      </c>
      <c r="AE42" s="3">
        <v>150</v>
      </c>
      <c r="AF42" s="3">
        <v>150</v>
      </c>
      <c r="AG42" s="7" t="s">
        <v>196</v>
      </c>
      <c r="AH42" s="3"/>
      <c r="AI42" s="3">
        <v>3000</v>
      </c>
      <c r="AJ42" s="3">
        <v>4000</v>
      </c>
      <c r="AK42" s="1" t="s">
        <v>415</v>
      </c>
      <c r="AL42" s="3" t="s">
        <v>197</v>
      </c>
      <c r="AM42" s="3"/>
      <c r="AN42" s="3" t="s">
        <v>362</v>
      </c>
    </row>
    <row r="43" spans="1:40" x14ac:dyDescent="0.45">
      <c r="A43" s="3">
        <v>42</v>
      </c>
      <c r="B43" s="3" t="s">
        <v>323</v>
      </c>
      <c r="C43" s="10">
        <v>45428</v>
      </c>
      <c r="D43" s="3" t="s">
        <v>198</v>
      </c>
      <c r="E43" s="3" t="s">
        <v>21</v>
      </c>
      <c r="F43" s="3" t="s">
        <v>76</v>
      </c>
      <c r="G43" s="7"/>
      <c r="H43" s="1" t="s">
        <v>340</v>
      </c>
      <c r="I43" s="1" t="s">
        <v>64</v>
      </c>
      <c r="J43" s="3"/>
      <c r="K43" s="3" t="s">
        <v>45</v>
      </c>
      <c r="L43" s="3"/>
      <c r="M43" s="3"/>
      <c r="N43" s="3">
        <v>18</v>
      </c>
      <c r="O43" s="3">
        <v>20</v>
      </c>
      <c r="P43" s="3" t="s">
        <v>199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7" t="s">
        <v>193</v>
      </c>
      <c r="AC43" s="7"/>
      <c r="AD43" s="7"/>
      <c r="AE43" s="7"/>
      <c r="AF43" s="3"/>
      <c r="AG43" s="3"/>
      <c r="AH43" s="3"/>
      <c r="AI43" s="15">
        <v>5000</v>
      </c>
      <c r="AJ43" s="15">
        <v>5000</v>
      </c>
      <c r="AK43" s="1" t="s">
        <v>415</v>
      </c>
      <c r="AL43" s="15" t="s">
        <v>83</v>
      </c>
      <c r="AM43" s="12"/>
      <c r="AN43" s="12" t="s">
        <v>365</v>
      </c>
    </row>
    <row r="44" spans="1:40" x14ac:dyDescent="0.45">
      <c r="A44" s="3">
        <v>43</v>
      </c>
      <c r="B44" s="3" t="s">
        <v>323</v>
      </c>
      <c r="C44" s="10">
        <v>45495</v>
      </c>
      <c r="D44" s="3" t="s">
        <v>200</v>
      </c>
      <c r="E44" s="3" t="s">
        <v>21</v>
      </c>
      <c r="F44" s="3" t="s">
        <v>332</v>
      </c>
      <c r="G44" s="7"/>
      <c r="H44" s="1" t="s">
        <v>340</v>
      </c>
      <c r="I44" s="3" t="s">
        <v>67</v>
      </c>
      <c r="J44" s="3" t="s">
        <v>47</v>
      </c>
      <c r="K44" s="3" t="s">
        <v>45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7"/>
      <c r="AH44" s="3"/>
      <c r="AI44" s="3">
        <v>1000</v>
      </c>
      <c r="AJ44" s="3">
        <v>1000</v>
      </c>
      <c r="AK44" s="1" t="s">
        <v>415</v>
      </c>
      <c r="AL44" s="3" t="s">
        <v>201</v>
      </c>
      <c r="AM44" s="3"/>
      <c r="AN44" s="5" t="s">
        <v>370</v>
      </c>
    </row>
    <row r="45" spans="1:40" x14ac:dyDescent="0.45">
      <c r="A45" s="3">
        <v>44</v>
      </c>
      <c r="B45" s="3" t="s">
        <v>323</v>
      </c>
      <c r="C45" s="10">
        <v>45523</v>
      </c>
      <c r="D45" s="3" t="s">
        <v>202</v>
      </c>
      <c r="E45" s="3" t="s">
        <v>4</v>
      </c>
      <c r="F45" s="3" t="s">
        <v>423</v>
      </c>
      <c r="G45" s="7"/>
      <c r="H45" s="1" t="s">
        <v>340</v>
      </c>
      <c r="I45" s="1" t="s">
        <v>64</v>
      </c>
      <c r="J45" s="3"/>
      <c r="K45" s="3"/>
      <c r="L45" s="3"/>
      <c r="M45" s="3"/>
      <c r="N45" s="3">
        <v>0.2</v>
      </c>
      <c r="O45" s="3">
        <v>0.4</v>
      </c>
      <c r="P45" s="3" t="s">
        <v>203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 t="s">
        <v>384</v>
      </c>
      <c r="AD45" s="3" t="s">
        <v>398</v>
      </c>
      <c r="AE45" s="3"/>
      <c r="AF45" s="3"/>
      <c r="AG45" s="7" t="s">
        <v>204</v>
      </c>
      <c r="AH45" s="3"/>
      <c r="AI45" s="3">
        <v>500</v>
      </c>
      <c r="AJ45" s="3">
        <v>500</v>
      </c>
      <c r="AK45" s="1" t="s">
        <v>415</v>
      </c>
      <c r="AL45" s="3" t="s">
        <v>205</v>
      </c>
      <c r="AM45" s="3"/>
      <c r="AN45" s="3" t="s">
        <v>325</v>
      </c>
    </row>
    <row r="46" spans="1:40" x14ac:dyDescent="0.45">
      <c r="A46" s="3">
        <v>45</v>
      </c>
      <c r="B46" s="3" t="s">
        <v>323</v>
      </c>
      <c r="C46" s="10">
        <v>45524</v>
      </c>
      <c r="D46" s="3" t="s">
        <v>56</v>
      </c>
      <c r="E46" s="3" t="s">
        <v>4</v>
      </c>
      <c r="F46" s="3" t="s">
        <v>2</v>
      </c>
      <c r="G46" s="7" t="s">
        <v>17</v>
      </c>
      <c r="H46" s="1" t="s">
        <v>340</v>
      </c>
      <c r="I46" s="1" t="s">
        <v>64</v>
      </c>
      <c r="J46" s="3"/>
      <c r="K46" s="3"/>
      <c r="L46" s="3"/>
      <c r="M46" s="3"/>
      <c r="N46" s="3">
        <v>30</v>
      </c>
      <c r="O46" s="3">
        <v>30</v>
      </c>
      <c r="P46" s="3">
        <v>30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 t="s">
        <v>384</v>
      </c>
      <c r="AD46" s="3" t="s">
        <v>399</v>
      </c>
      <c r="AE46" s="3">
        <v>120</v>
      </c>
      <c r="AF46" s="3">
        <v>140</v>
      </c>
      <c r="AG46" s="7" t="s">
        <v>206</v>
      </c>
      <c r="AH46" s="3"/>
      <c r="AI46" s="3">
        <v>10000</v>
      </c>
      <c r="AJ46" s="3">
        <v>15000</v>
      </c>
      <c r="AK46" s="1" t="s">
        <v>415</v>
      </c>
      <c r="AL46" s="3" t="s">
        <v>207</v>
      </c>
      <c r="AM46" s="3"/>
      <c r="AN46" s="3" t="s">
        <v>208</v>
      </c>
    </row>
    <row r="47" spans="1:40" x14ac:dyDescent="0.45">
      <c r="A47" s="3">
        <v>46</v>
      </c>
      <c r="B47" s="3" t="s">
        <v>323</v>
      </c>
      <c r="C47" s="10">
        <v>45539</v>
      </c>
      <c r="D47" s="3" t="s">
        <v>209</v>
      </c>
      <c r="E47" s="3" t="s">
        <v>5</v>
      </c>
      <c r="F47" s="3" t="s">
        <v>8</v>
      </c>
      <c r="G47" s="7" t="s">
        <v>9</v>
      </c>
      <c r="H47" s="1" t="s">
        <v>340</v>
      </c>
      <c r="I47" s="1" t="s">
        <v>64</v>
      </c>
      <c r="J47" s="3"/>
      <c r="K47" s="3"/>
      <c r="L47" s="3"/>
      <c r="M47" s="3"/>
      <c r="N47" s="3" t="str">
        <f t="shared" ref="N47" si="9">_xlfn.TEXTBEFORE(P47,"～")</f>
        <v>15</v>
      </c>
      <c r="O47" s="3" t="str">
        <f t="shared" ref="O47" si="10">_xlfn.TEXTAFTER(P47,"～")</f>
        <v>20</v>
      </c>
      <c r="P47" s="3" t="s">
        <v>210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7"/>
      <c r="AH47" s="3"/>
      <c r="AI47" s="3">
        <v>10000</v>
      </c>
      <c r="AJ47" s="3">
        <v>10000</v>
      </c>
      <c r="AK47" s="1" t="s">
        <v>415</v>
      </c>
      <c r="AL47" s="3" t="s">
        <v>78</v>
      </c>
      <c r="AM47" s="3"/>
      <c r="AN47" s="3" t="s">
        <v>211</v>
      </c>
    </row>
    <row r="48" spans="1:40" x14ac:dyDescent="0.45">
      <c r="A48" s="3">
        <v>47</v>
      </c>
      <c r="B48" s="3" t="s">
        <v>323</v>
      </c>
      <c r="C48" s="10">
        <v>45556</v>
      </c>
      <c r="D48" s="3" t="s">
        <v>212</v>
      </c>
      <c r="E48" s="3" t="s">
        <v>12</v>
      </c>
      <c r="F48" s="3" t="s">
        <v>73</v>
      </c>
      <c r="G48" s="7"/>
      <c r="H48" s="1" t="s">
        <v>340</v>
      </c>
      <c r="I48" s="3" t="s">
        <v>67</v>
      </c>
      <c r="J48" s="3" t="s">
        <v>47</v>
      </c>
      <c r="K48" s="3" t="s">
        <v>45</v>
      </c>
      <c r="L48" s="3" t="s">
        <v>359</v>
      </c>
      <c r="M48" s="3">
        <v>25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180</v>
      </c>
      <c r="AG48" s="7"/>
      <c r="AH48" s="3"/>
      <c r="AI48" s="3">
        <v>2000</v>
      </c>
      <c r="AJ48" s="3">
        <v>2000</v>
      </c>
      <c r="AK48" s="1" t="s">
        <v>415</v>
      </c>
      <c r="AL48" s="3" t="s">
        <v>213</v>
      </c>
      <c r="AM48" s="3"/>
      <c r="AN48" s="3" t="s">
        <v>410</v>
      </c>
    </row>
    <row r="49" spans="1:40" x14ac:dyDescent="0.45">
      <c r="A49" s="3">
        <v>48</v>
      </c>
      <c r="B49" s="3" t="s">
        <v>323</v>
      </c>
      <c r="C49" s="10">
        <v>45556</v>
      </c>
      <c r="D49" s="3" t="s">
        <v>214</v>
      </c>
      <c r="E49" s="3" t="s">
        <v>12</v>
      </c>
      <c r="F49" s="3" t="s">
        <v>423</v>
      </c>
      <c r="G49" s="7"/>
      <c r="H49" s="1" t="s">
        <v>340</v>
      </c>
      <c r="I49" s="1" t="s">
        <v>64</v>
      </c>
      <c r="J49" s="3" t="s">
        <v>47</v>
      </c>
      <c r="K49" s="3" t="s">
        <v>45</v>
      </c>
      <c r="L49" s="3" t="s">
        <v>359</v>
      </c>
      <c r="M49" s="3">
        <v>25</v>
      </c>
      <c r="N49" s="3" t="str">
        <f t="shared" ref="N49" si="11">_xlfn.TEXTBEFORE(P49,"～")</f>
        <v>0.2</v>
      </c>
      <c r="O49" s="3" t="str">
        <f t="shared" ref="O49" si="12">_xlfn.TEXTAFTER(P49,"～")</f>
        <v>0.3</v>
      </c>
      <c r="P49" s="3" t="s">
        <v>215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7"/>
      <c r="AH49" s="3"/>
      <c r="AI49" s="3">
        <v>5000</v>
      </c>
      <c r="AJ49" s="3">
        <v>10000</v>
      </c>
      <c r="AK49" s="1" t="s">
        <v>415</v>
      </c>
      <c r="AL49" s="3" t="s">
        <v>87</v>
      </c>
      <c r="AM49" s="3"/>
      <c r="AN49" s="3" t="s">
        <v>326</v>
      </c>
    </row>
    <row r="50" spans="1:40" ht="36" x14ac:dyDescent="0.45">
      <c r="A50" s="3">
        <v>49</v>
      </c>
      <c r="B50" s="3" t="s">
        <v>323</v>
      </c>
      <c r="C50" s="10">
        <v>45559</v>
      </c>
      <c r="D50" s="3" t="s">
        <v>216</v>
      </c>
      <c r="E50" s="3" t="s">
        <v>15</v>
      </c>
      <c r="F50" s="3" t="s">
        <v>423</v>
      </c>
      <c r="G50" s="7"/>
      <c r="H50" s="3" t="s">
        <v>346</v>
      </c>
      <c r="I50" s="3" t="s">
        <v>70</v>
      </c>
      <c r="J50" s="3"/>
      <c r="K50" s="3"/>
      <c r="L50" s="3" t="s">
        <v>6</v>
      </c>
      <c r="M50" s="3"/>
      <c r="N50" s="3">
        <v>0.05</v>
      </c>
      <c r="O50" s="3">
        <v>0.1</v>
      </c>
      <c r="P50" s="3" t="s">
        <v>217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 t="s">
        <v>384</v>
      </c>
      <c r="AD50" s="3" t="s">
        <v>391</v>
      </c>
      <c r="AE50" s="3">
        <v>70</v>
      </c>
      <c r="AF50" s="3">
        <v>80</v>
      </c>
      <c r="AG50" s="7" t="s">
        <v>218</v>
      </c>
      <c r="AH50" s="3"/>
      <c r="AI50" s="3">
        <v>50000</v>
      </c>
      <c r="AJ50" s="3">
        <v>50000</v>
      </c>
      <c r="AK50" s="1" t="s">
        <v>415</v>
      </c>
      <c r="AL50" s="3" t="s">
        <v>91</v>
      </c>
      <c r="AM50" s="3"/>
      <c r="AN50" s="16" t="s">
        <v>343</v>
      </c>
    </row>
    <row r="51" spans="1:40" x14ac:dyDescent="0.45">
      <c r="A51" s="3">
        <v>50</v>
      </c>
      <c r="B51" s="3" t="s">
        <v>323</v>
      </c>
      <c r="C51" s="10">
        <v>45610</v>
      </c>
      <c r="D51" s="3" t="s">
        <v>219</v>
      </c>
      <c r="E51" s="3" t="s">
        <v>4</v>
      </c>
      <c r="F51" s="3" t="s">
        <v>424</v>
      </c>
      <c r="G51" s="7"/>
      <c r="H51" s="3" t="s">
        <v>346</v>
      </c>
      <c r="I51" s="1" t="s">
        <v>64</v>
      </c>
      <c r="J51" s="3" t="s">
        <v>48</v>
      </c>
      <c r="K51" s="3"/>
      <c r="L51" s="3" t="s">
        <v>359</v>
      </c>
      <c r="M51" s="3">
        <v>25</v>
      </c>
      <c r="N51" s="3">
        <v>20</v>
      </c>
      <c r="O51" s="3">
        <v>30</v>
      </c>
      <c r="P51" s="3" t="s">
        <v>220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 t="s">
        <v>384</v>
      </c>
      <c r="AD51" s="7" t="s">
        <v>221</v>
      </c>
      <c r="AE51" s="3"/>
      <c r="AF51" s="3"/>
      <c r="AG51" s="7" t="s">
        <v>221</v>
      </c>
      <c r="AH51" s="3"/>
      <c r="AI51" s="3">
        <v>10000</v>
      </c>
      <c r="AJ51" s="3">
        <v>13000</v>
      </c>
      <c r="AK51" s="3" t="s">
        <v>416</v>
      </c>
      <c r="AL51" s="3"/>
      <c r="AM51" s="3" t="s">
        <v>222</v>
      </c>
      <c r="AN51" s="5" t="s">
        <v>223</v>
      </c>
    </row>
    <row r="52" spans="1:40" x14ac:dyDescent="0.45">
      <c r="A52" s="3">
        <v>51</v>
      </c>
      <c r="B52" s="3" t="s">
        <v>313</v>
      </c>
      <c r="C52" s="10">
        <v>45611</v>
      </c>
      <c r="D52" s="3" t="s">
        <v>202</v>
      </c>
      <c r="E52" s="3" t="s">
        <v>4</v>
      </c>
      <c r="F52" s="3" t="s">
        <v>2</v>
      </c>
      <c r="G52" s="7" t="s">
        <v>34</v>
      </c>
      <c r="H52" s="3" t="s">
        <v>224</v>
      </c>
      <c r="I52" s="1" t="s">
        <v>64</v>
      </c>
      <c r="J52" s="3"/>
      <c r="K52" s="3"/>
      <c r="L52" s="3"/>
      <c r="M52" s="3"/>
      <c r="N52" s="3">
        <v>32</v>
      </c>
      <c r="O52" s="3">
        <v>32</v>
      </c>
      <c r="P52" s="3">
        <v>32</v>
      </c>
      <c r="Q52" s="3">
        <v>12</v>
      </c>
      <c r="R52" s="3">
        <v>12</v>
      </c>
      <c r="S52" s="3">
        <v>12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7"/>
      <c r="AH52" s="3"/>
      <c r="AI52" s="3"/>
      <c r="AJ52" s="3"/>
      <c r="AK52" s="3"/>
      <c r="AL52" s="3"/>
      <c r="AM52" s="3"/>
      <c r="AN52" s="3"/>
    </row>
    <row r="53" spans="1:40" x14ac:dyDescent="0.45">
      <c r="A53" s="3">
        <v>52</v>
      </c>
      <c r="B53" s="3" t="s">
        <v>323</v>
      </c>
      <c r="C53" s="10">
        <v>45624</v>
      </c>
      <c r="D53" s="3" t="s">
        <v>96</v>
      </c>
      <c r="E53" s="3" t="s">
        <v>4</v>
      </c>
      <c r="F53" s="3" t="s">
        <v>26</v>
      </c>
      <c r="G53" s="7"/>
      <c r="H53" s="3" t="s">
        <v>346</v>
      </c>
      <c r="I53" s="1" t="s">
        <v>64</v>
      </c>
      <c r="J53" s="3" t="s">
        <v>225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7"/>
      <c r="AH53" s="3"/>
      <c r="AI53" s="3">
        <v>10000</v>
      </c>
      <c r="AJ53" s="3">
        <v>10000</v>
      </c>
      <c r="AK53" s="3" t="s">
        <v>416</v>
      </c>
      <c r="AL53" s="3"/>
      <c r="AM53" s="3" t="s">
        <v>97</v>
      </c>
      <c r="AN53" s="3" t="s">
        <v>344</v>
      </c>
    </row>
    <row r="54" spans="1:40" x14ac:dyDescent="0.45">
      <c r="A54" s="3">
        <v>53</v>
      </c>
      <c r="B54" s="3" t="s">
        <v>323</v>
      </c>
      <c r="C54" s="10">
        <v>45637</v>
      </c>
      <c r="D54" s="3" t="s">
        <v>226</v>
      </c>
      <c r="E54" s="3" t="s">
        <v>24</v>
      </c>
      <c r="F54" s="3" t="s">
        <v>426</v>
      </c>
      <c r="G54" s="7"/>
      <c r="H54" s="1" t="s">
        <v>340</v>
      </c>
      <c r="I54" s="3" t="s">
        <v>70</v>
      </c>
      <c r="J54" s="3" t="s">
        <v>47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7"/>
      <c r="AH54" s="3"/>
      <c r="AI54" s="3">
        <v>1000</v>
      </c>
      <c r="AJ54" s="3">
        <v>1000</v>
      </c>
      <c r="AK54" s="3" t="s">
        <v>416</v>
      </c>
      <c r="AL54" s="3"/>
      <c r="AM54" s="3" t="s">
        <v>101</v>
      </c>
      <c r="AN54" s="3"/>
    </row>
    <row r="55" spans="1:40" x14ac:dyDescent="0.45">
      <c r="A55" s="3">
        <v>54</v>
      </c>
      <c r="B55" s="3" t="s">
        <v>323</v>
      </c>
      <c r="C55" s="10">
        <v>45644</v>
      </c>
      <c r="D55" s="3" t="s">
        <v>227</v>
      </c>
      <c r="E55" s="3" t="s">
        <v>4</v>
      </c>
      <c r="F55" s="3" t="s">
        <v>423</v>
      </c>
      <c r="G55" s="7"/>
      <c r="H55" s="3" t="s">
        <v>66</v>
      </c>
      <c r="I55" s="1" t="s">
        <v>64</v>
      </c>
      <c r="J55" s="3"/>
      <c r="K55" s="3"/>
      <c r="L55" s="3"/>
      <c r="M55" s="3"/>
      <c r="N55" s="3" t="str">
        <f t="shared" ref="N55:N56" si="13">_xlfn.TEXTBEFORE(P55,"～")</f>
        <v>10</v>
      </c>
      <c r="O55" s="3" t="str">
        <f t="shared" ref="O55:O56" si="14">_xlfn.TEXTAFTER(P55,"～")</f>
        <v>20</v>
      </c>
      <c r="P55" s="3" t="s">
        <v>228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 t="s">
        <v>384</v>
      </c>
      <c r="AD55" s="7" t="s">
        <v>229</v>
      </c>
      <c r="AE55" s="3"/>
      <c r="AF55" s="3"/>
      <c r="AG55" s="7" t="s">
        <v>229</v>
      </c>
      <c r="AH55" s="3"/>
      <c r="AI55" s="3">
        <v>5000</v>
      </c>
      <c r="AJ55" s="3">
        <v>5000</v>
      </c>
      <c r="AK55" s="3" t="s">
        <v>416</v>
      </c>
      <c r="AL55" s="3"/>
      <c r="AM55" s="3" t="s">
        <v>230</v>
      </c>
      <c r="AN55" s="3"/>
    </row>
    <row r="56" spans="1:40" x14ac:dyDescent="0.45">
      <c r="A56" s="3">
        <v>55</v>
      </c>
      <c r="B56" s="3" t="s">
        <v>323</v>
      </c>
      <c r="C56" s="10">
        <v>45644</v>
      </c>
      <c r="D56" s="3" t="s">
        <v>227</v>
      </c>
      <c r="E56" s="3" t="s">
        <v>4</v>
      </c>
      <c r="F56" s="1" t="s">
        <v>425</v>
      </c>
      <c r="G56" s="6"/>
      <c r="H56" s="3" t="s">
        <v>66</v>
      </c>
      <c r="I56" s="1" t="s">
        <v>64</v>
      </c>
      <c r="J56" s="3"/>
      <c r="K56" s="3"/>
      <c r="L56" s="3"/>
      <c r="M56" s="3"/>
      <c r="N56" s="3" t="str">
        <f t="shared" si="13"/>
        <v>10</v>
      </c>
      <c r="O56" s="3" t="str">
        <f t="shared" si="14"/>
        <v>20</v>
      </c>
      <c r="P56" s="3" t="s">
        <v>228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 t="s">
        <v>384</v>
      </c>
      <c r="AD56" s="7" t="s">
        <v>229</v>
      </c>
      <c r="AE56" s="3"/>
      <c r="AF56" s="3"/>
      <c r="AG56" s="7" t="s">
        <v>229</v>
      </c>
      <c r="AH56" s="3"/>
      <c r="AI56" s="3">
        <v>5000</v>
      </c>
      <c r="AJ56" s="3">
        <v>5000</v>
      </c>
      <c r="AK56" s="3" t="s">
        <v>416</v>
      </c>
      <c r="AL56" s="3"/>
      <c r="AM56" s="3" t="s">
        <v>230</v>
      </c>
      <c r="AN56" s="3"/>
    </row>
    <row r="57" spans="1:40" x14ac:dyDescent="0.45">
      <c r="A57" s="3">
        <v>56</v>
      </c>
      <c r="B57" s="3" t="s">
        <v>323</v>
      </c>
      <c r="C57" s="10">
        <v>45652</v>
      </c>
      <c r="D57" s="3" t="s">
        <v>231</v>
      </c>
      <c r="E57" s="3" t="s">
        <v>12</v>
      </c>
      <c r="F57" s="3" t="s">
        <v>80</v>
      </c>
      <c r="G57" s="7"/>
      <c r="H57" s="3" t="s">
        <v>32</v>
      </c>
      <c r="I57" s="3" t="s">
        <v>358</v>
      </c>
      <c r="J57" s="3"/>
      <c r="K57" s="3" t="s">
        <v>45</v>
      </c>
      <c r="L57" s="3" t="s">
        <v>359</v>
      </c>
      <c r="M57" s="3">
        <v>25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7"/>
      <c r="AH57" s="3"/>
      <c r="AI57" s="3">
        <v>1000</v>
      </c>
      <c r="AJ57" s="3">
        <v>2000</v>
      </c>
      <c r="AK57" s="1" t="s">
        <v>415</v>
      </c>
      <c r="AL57" s="3" t="s">
        <v>232</v>
      </c>
      <c r="AM57" s="3"/>
      <c r="AN57" s="3" t="s">
        <v>350</v>
      </c>
    </row>
    <row r="58" spans="1:40" x14ac:dyDescent="0.45">
      <c r="A58" s="3">
        <v>57</v>
      </c>
      <c r="B58" s="3" t="s">
        <v>323</v>
      </c>
      <c r="C58" s="10">
        <v>45688</v>
      </c>
      <c r="D58" s="3" t="s">
        <v>233</v>
      </c>
      <c r="E58" s="3" t="s">
        <v>7</v>
      </c>
      <c r="F58" s="3" t="s">
        <v>8</v>
      </c>
      <c r="G58" s="7" t="s">
        <v>22</v>
      </c>
      <c r="H58" s="3" t="s">
        <v>32</v>
      </c>
      <c r="I58" s="1" t="s">
        <v>64</v>
      </c>
      <c r="J58" s="3"/>
      <c r="K58" s="3"/>
      <c r="L58" s="3"/>
      <c r="M58" s="3"/>
      <c r="N58" s="3">
        <v>29</v>
      </c>
      <c r="O58" s="3">
        <v>31</v>
      </c>
      <c r="P58" s="3" t="s">
        <v>234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7"/>
      <c r="AH58" s="3"/>
      <c r="AI58" s="3"/>
      <c r="AJ58" s="3"/>
      <c r="AK58" s="3"/>
      <c r="AL58" s="3"/>
      <c r="AM58" s="3"/>
      <c r="AN58" s="3" t="s">
        <v>235</v>
      </c>
    </row>
    <row r="59" spans="1:40" x14ac:dyDescent="0.45">
      <c r="A59" s="3">
        <v>58</v>
      </c>
      <c r="B59" s="3" t="s">
        <v>323</v>
      </c>
      <c r="C59" s="10">
        <v>45707</v>
      </c>
      <c r="D59" s="3" t="s">
        <v>11</v>
      </c>
      <c r="E59" s="3" t="s">
        <v>4</v>
      </c>
      <c r="F59" s="3" t="s">
        <v>2</v>
      </c>
      <c r="G59" s="7" t="s">
        <v>25</v>
      </c>
      <c r="H59" s="1" t="s">
        <v>340</v>
      </c>
      <c r="I59" s="1" t="s">
        <v>64</v>
      </c>
      <c r="J59" s="3"/>
      <c r="K59" s="3"/>
      <c r="L59" s="3"/>
      <c r="M59" s="3"/>
      <c r="N59" s="3"/>
      <c r="O59" s="3">
        <v>3</v>
      </c>
      <c r="P59" s="3" t="s">
        <v>236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7"/>
      <c r="AH59" s="3"/>
      <c r="AI59" s="3"/>
      <c r="AJ59" s="3"/>
      <c r="AK59" s="3"/>
      <c r="AL59" s="3"/>
      <c r="AM59" s="3"/>
      <c r="AN59" s="3" t="s">
        <v>341</v>
      </c>
    </row>
    <row r="60" spans="1:40" x14ac:dyDescent="0.45">
      <c r="A60" s="3">
        <v>59</v>
      </c>
      <c r="B60" s="3" t="s">
        <v>323</v>
      </c>
      <c r="C60" s="10">
        <v>45719</v>
      </c>
      <c r="D60" s="3" t="s">
        <v>93</v>
      </c>
      <c r="E60" s="3" t="s">
        <v>12</v>
      </c>
      <c r="F60" s="3" t="s">
        <v>423</v>
      </c>
      <c r="G60" s="7"/>
      <c r="H60" s="3" t="s">
        <v>69</v>
      </c>
      <c r="I60" s="1" t="s">
        <v>64</v>
      </c>
      <c r="J60" s="3" t="s">
        <v>237</v>
      </c>
      <c r="K60" s="3" t="s">
        <v>45</v>
      </c>
      <c r="L60" s="3" t="s">
        <v>6</v>
      </c>
      <c r="M60" s="3"/>
      <c r="N60" s="3" t="str">
        <f t="shared" ref="N60" si="15">_xlfn.TEXTBEFORE(P60,"～")</f>
        <v>0.04</v>
      </c>
      <c r="O60" s="3" t="str">
        <f t="shared" ref="O60" si="16">_xlfn.TEXTAFTER(P60,"～")</f>
        <v>0.1</v>
      </c>
      <c r="P60" s="3" t="s">
        <v>238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 t="s">
        <v>384</v>
      </c>
      <c r="AD60" s="3" t="s">
        <v>401</v>
      </c>
      <c r="AE60" s="3">
        <v>125</v>
      </c>
      <c r="AF60" s="3">
        <v>125</v>
      </c>
      <c r="AG60" s="14" t="s">
        <v>400</v>
      </c>
      <c r="AH60" s="3"/>
      <c r="AI60" s="3">
        <v>30000</v>
      </c>
      <c r="AJ60" s="3">
        <v>30000</v>
      </c>
      <c r="AK60" s="1" t="s">
        <v>415</v>
      </c>
      <c r="AL60" s="3" t="s">
        <v>92</v>
      </c>
      <c r="AM60" s="3"/>
      <c r="AN60" s="3"/>
    </row>
    <row r="61" spans="1:40" x14ac:dyDescent="0.45">
      <c r="A61" s="3">
        <v>60</v>
      </c>
      <c r="B61" s="3" t="s">
        <v>323</v>
      </c>
      <c r="C61" s="10">
        <v>45722</v>
      </c>
      <c r="D61" s="3" t="s">
        <v>239</v>
      </c>
      <c r="E61" s="3" t="s">
        <v>4</v>
      </c>
      <c r="F61" s="3" t="s">
        <v>427</v>
      </c>
      <c r="G61" s="7"/>
      <c r="H61" s="3" t="s">
        <v>68</v>
      </c>
      <c r="I61" s="1" t="s">
        <v>64</v>
      </c>
      <c r="J61" s="3" t="s">
        <v>240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 t="s">
        <v>384</v>
      </c>
      <c r="AD61" s="7" t="s">
        <v>241</v>
      </c>
      <c r="AE61" s="3"/>
      <c r="AF61" s="3"/>
      <c r="AG61" s="7" t="s">
        <v>241</v>
      </c>
      <c r="AH61" s="3"/>
      <c r="AI61" s="3">
        <v>4000</v>
      </c>
      <c r="AJ61" s="3">
        <v>10000</v>
      </c>
      <c r="AK61" s="1" t="s">
        <v>415</v>
      </c>
      <c r="AL61" s="3" t="s">
        <v>242</v>
      </c>
      <c r="AM61" s="3"/>
      <c r="AN61" s="3"/>
    </row>
    <row r="62" spans="1:40" x14ac:dyDescent="0.45">
      <c r="A62" s="3">
        <v>61</v>
      </c>
      <c r="B62" s="3" t="s">
        <v>323</v>
      </c>
      <c r="C62" s="10">
        <v>45820</v>
      </c>
      <c r="D62" s="3" t="s">
        <v>243</v>
      </c>
      <c r="E62" s="3" t="s">
        <v>5</v>
      </c>
      <c r="F62" s="3" t="s">
        <v>8</v>
      </c>
      <c r="G62" s="7"/>
      <c r="H62" s="3" t="s">
        <v>69</v>
      </c>
      <c r="I62" s="1" t="s">
        <v>64</v>
      </c>
      <c r="J62" s="3" t="s">
        <v>244</v>
      </c>
      <c r="K62" s="3" t="s">
        <v>45</v>
      </c>
      <c r="L62" s="3" t="s">
        <v>6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 t="s">
        <v>384</v>
      </c>
      <c r="AD62" s="3" t="s">
        <v>403</v>
      </c>
      <c r="AE62" s="3">
        <v>100</v>
      </c>
      <c r="AF62" s="3">
        <v>100</v>
      </c>
      <c r="AG62" s="7" t="s">
        <v>402</v>
      </c>
      <c r="AH62" s="3"/>
      <c r="AI62" s="3">
        <v>4000</v>
      </c>
      <c r="AJ62" s="3">
        <v>4000</v>
      </c>
      <c r="AK62" s="1" t="s">
        <v>415</v>
      </c>
      <c r="AL62" s="3" t="s">
        <v>245</v>
      </c>
      <c r="AM62" s="3"/>
      <c r="AN62" s="3" t="s">
        <v>333</v>
      </c>
    </row>
    <row r="63" spans="1:40" x14ac:dyDescent="0.45">
      <c r="A63" s="3">
        <v>62</v>
      </c>
      <c r="B63" s="3" t="s">
        <v>323</v>
      </c>
      <c r="C63" s="10">
        <v>45821</v>
      </c>
      <c r="D63" s="3" t="s">
        <v>246</v>
      </c>
      <c r="E63" s="3" t="s">
        <v>4</v>
      </c>
      <c r="F63" s="3" t="s">
        <v>2</v>
      </c>
      <c r="G63" s="7"/>
      <c r="H63" s="3" t="s">
        <v>346</v>
      </c>
      <c r="I63" s="3" t="s">
        <v>358</v>
      </c>
      <c r="J63" s="3" t="s">
        <v>103</v>
      </c>
      <c r="K63" s="3" t="s">
        <v>42</v>
      </c>
      <c r="L63" s="3"/>
      <c r="M63" s="3"/>
      <c r="N63" s="3"/>
      <c r="O63" s="3">
        <v>3</v>
      </c>
      <c r="P63" s="3" t="s">
        <v>236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 t="s">
        <v>384</v>
      </c>
      <c r="AD63" s="3" t="s">
        <v>404</v>
      </c>
      <c r="AE63" s="3">
        <v>55</v>
      </c>
      <c r="AF63" s="3">
        <v>80</v>
      </c>
      <c r="AG63" s="7" t="s">
        <v>247</v>
      </c>
      <c r="AH63" s="3"/>
      <c r="AI63" s="3">
        <v>13000</v>
      </c>
      <c r="AJ63" s="3">
        <v>13000</v>
      </c>
      <c r="AK63" s="1" t="s">
        <v>415</v>
      </c>
      <c r="AL63" s="3" t="s">
        <v>248</v>
      </c>
      <c r="AM63" s="3"/>
      <c r="AN63" s="3" t="s">
        <v>351</v>
      </c>
    </row>
    <row r="64" spans="1:40" x14ac:dyDescent="0.45">
      <c r="A64" s="3">
        <v>63</v>
      </c>
      <c r="B64" s="3" t="s">
        <v>323</v>
      </c>
      <c r="C64" s="10">
        <v>45824</v>
      </c>
      <c r="D64" s="3" t="s">
        <v>96</v>
      </c>
      <c r="E64" s="3" t="s">
        <v>4</v>
      </c>
      <c r="F64" s="3" t="s">
        <v>249</v>
      </c>
      <c r="G64" s="7"/>
      <c r="H64" s="1" t="s">
        <v>340</v>
      </c>
      <c r="I64" s="3"/>
      <c r="J64" s="3" t="s">
        <v>250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7"/>
      <c r="AH64" s="3"/>
      <c r="AI64" s="3"/>
      <c r="AJ64" s="3"/>
      <c r="AK64" s="3"/>
      <c r="AL64" s="3"/>
      <c r="AM64" s="3"/>
      <c r="AN64" s="3"/>
    </row>
    <row r="65" spans="1:41" x14ac:dyDescent="0.45">
      <c r="A65" s="3">
        <v>64</v>
      </c>
      <c r="B65" s="3" t="s">
        <v>323</v>
      </c>
      <c r="C65" s="10">
        <v>45831</v>
      </c>
      <c r="D65" s="3" t="s">
        <v>98</v>
      </c>
      <c r="E65" s="3" t="s">
        <v>5</v>
      </c>
      <c r="F65" s="3" t="s">
        <v>8</v>
      </c>
      <c r="G65" s="7"/>
      <c r="H65" s="1" t="s">
        <v>340</v>
      </c>
      <c r="I65" s="3" t="s">
        <v>70</v>
      </c>
      <c r="J65" s="3"/>
      <c r="K65" s="3" t="s">
        <v>45</v>
      </c>
      <c r="L65" s="3" t="s">
        <v>6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7" t="s">
        <v>10</v>
      </c>
      <c r="AH65" s="3"/>
      <c r="AI65" s="3"/>
      <c r="AJ65" s="3"/>
      <c r="AK65" s="1" t="s">
        <v>415</v>
      </c>
      <c r="AL65" s="3" t="s">
        <v>18</v>
      </c>
      <c r="AM65" s="3"/>
      <c r="AN65" s="3"/>
    </row>
    <row r="66" spans="1:41" x14ac:dyDescent="0.45">
      <c r="A66" s="3">
        <v>65</v>
      </c>
      <c r="B66" s="3" t="s">
        <v>323</v>
      </c>
      <c r="C66" s="10">
        <v>45831</v>
      </c>
      <c r="D66" s="3" t="s">
        <v>19</v>
      </c>
      <c r="E66" s="3" t="s">
        <v>5</v>
      </c>
      <c r="F66" s="3" t="s">
        <v>8</v>
      </c>
      <c r="G66" s="7"/>
      <c r="H66" s="3" t="s">
        <v>346</v>
      </c>
      <c r="I66" s="1" t="s">
        <v>64</v>
      </c>
      <c r="J66" s="3"/>
      <c r="K66" s="3" t="s">
        <v>45</v>
      </c>
      <c r="L66" s="3" t="s">
        <v>6</v>
      </c>
      <c r="M66" s="3"/>
      <c r="N66" s="3" t="str">
        <f t="shared" ref="N66" si="17">_xlfn.TEXTBEFORE(P66,"～")</f>
        <v>4</v>
      </c>
      <c r="O66" s="3" t="str">
        <f t="shared" ref="O66" si="18">_xlfn.TEXTAFTER(P66,"～")</f>
        <v>7</v>
      </c>
      <c r="P66" s="3" t="s">
        <v>251</v>
      </c>
      <c r="Q66" s="3"/>
      <c r="R66" s="3"/>
      <c r="S66" s="3"/>
      <c r="T66" s="3"/>
      <c r="U66" s="3">
        <v>6</v>
      </c>
      <c r="V66" s="3">
        <v>6</v>
      </c>
      <c r="W66" s="3"/>
      <c r="X66" s="3"/>
      <c r="Y66" s="3"/>
      <c r="Z66" s="3"/>
      <c r="AA66" s="3"/>
      <c r="AB66" s="3"/>
      <c r="AC66" s="3" t="s">
        <v>376</v>
      </c>
      <c r="AD66" s="3" t="s">
        <v>377</v>
      </c>
      <c r="AE66" s="3">
        <v>70</v>
      </c>
      <c r="AF66" s="3">
        <v>70</v>
      </c>
      <c r="AG66" s="7" t="s">
        <v>252</v>
      </c>
      <c r="AH66" s="3"/>
      <c r="AI66" s="3">
        <v>30000</v>
      </c>
      <c r="AJ66" s="3">
        <v>30000</v>
      </c>
      <c r="AK66" s="1" t="s">
        <v>415</v>
      </c>
      <c r="AL66" s="3" t="s">
        <v>253</v>
      </c>
      <c r="AM66" s="3"/>
      <c r="AN66" s="3" t="s">
        <v>254</v>
      </c>
    </row>
    <row r="67" spans="1:41" x14ac:dyDescent="0.45">
      <c r="A67" s="3">
        <v>66</v>
      </c>
      <c r="B67" s="3" t="s">
        <v>323</v>
      </c>
      <c r="C67" s="10">
        <v>45848</v>
      </c>
      <c r="D67" s="3" t="s">
        <v>255</v>
      </c>
      <c r="E67" s="3" t="s">
        <v>5</v>
      </c>
      <c r="F67" s="3" t="s">
        <v>8</v>
      </c>
      <c r="G67" s="7" t="s">
        <v>20</v>
      </c>
      <c r="H67" s="3" t="s">
        <v>256</v>
      </c>
      <c r="I67" s="1" t="s">
        <v>64</v>
      </c>
      <c r="J67" s="3"/>
      <c r="K67" s="3" t="s">
        <v>45</v>
      </c>
      <c r="L67" s="3" t="s">
        <v>6</v>
      </c>
      <c r="M67" s="3"/>
      <c r="N67" s="3">
        <v>15</v>
      </c>
      <c r="O67" s="3">
        <v>15</v>
      </c>
      <c r="P67" s="3">
        <v>15</v>
      </c>
      <c r="Q67" s="3"/>
      <c r="R67" s="3"/>
      <c r="S67" s="3"/>
      <c r="T67" s="3"/>
      <c r="U67" s="3">
        <v>8</v>
      </c>
      <c r="V67" s="3">
        <v>8</v>
      </c>
      <c r="W67" s="3"/>
      <c r="X67" s="3"/>
      <c r="Y67" s="3"/>
      <c r="Z67" s="3"/>
      <c r="AA67" s="3"/>
      <c r="AB67" s="3"/>
      <c r="AC67" s="3" t="s">
        <v>376</v>
      </c>
      <c r="AD67" s="3" t="s">
        <v>406</v>
      </c>
      <c r="AE67" s="3"/>
      <c r="AF67" s="3"/>
      <c r="AG67" s="7" t="s">
        <v>405</v>
      </c>
      <c r="AH67" s="3"/>
      <c r="AI67" s="3">
        <v>10000</v>
      </c>
      <c r="AJ67" s="3">
        <v>10000</v>
      </c>
      <c r="AK67" s="1" t="s">
        <v>415</v>
      </c>
      <c r="AL67" s="3" t="s">
        <v>78</v>
      </c>
      <c r="AM67" s="13"/>
      <c r="AN67" s="13" t="s">
        <v>258</v>
      </c>
    </row>
    <row r="68" spans="1:41" x14ac:dyDescent="0.45">
      <c r="A68" s="3">
        <v>67</v>
      </c>
      <c r="B68" s="3" t="s">
        <v>323</v>
      </c>
      <c r="C68" s="10">
        <v>45848</v>
      </c>
      <c r="D68" s="3" t="s">
        <v>255</v>
      </c>
      <c r="E68" s="3" t="s">
        <v>5</v>
      </c>
      <c r="F68" s="3" t="s">
        <v>8</v>
      </c>
      <c r="G68" s="7" t="s">
        <v>20</v>
      </c>
      <c r="H68" s="3" t="s">
        <v>69</v>
      </c>
      <c r="I68" s="1" t="s">
        <v>64</v>
      </c>
      <c r="J68" s="3"/>
      <c r="K68" s="3" t="s">
        <v>45</v>
      </c>
      <c r="L68" s="3" t="s">
        <v>6</v>
      </c>
      <c r="M68" s="3"/>
      <c r="N68" s="3">
        <v>15</v>
      </c>
      <c r="O68" s="3">
        <v>15</v>
      </c>
      <c r="P68" s="3">
        <v>15</v>
      </c>
      <c r="Q68" s="3"/>
      <c r="R68" s="3"/>
      <c r="S68" s="3"/>
      <c r="T68" s="3"/>
      <c r="U68" s="3">
        <v>8</v>
      </c>
      <c r="V68" s="3">
        <v>8</v>
      </c>
      <c r="W68" s="3"/>
      <c r="X68" s="3"/>
      <c r="Y68" s="3"/>
      <c r="Z68" s="3"/>
      <c r="AA68" s="3"/>
      <c r="AB68" s="7"/>
      <c r="AC68" s="7" t="s">
        <v>376</v>
      </c>
      <c r="AD68" s="7" t="s">
        <v>406</v>
      </c>
      <c r="AE68" s="7"/>
      <c r="AF68" s="3"/>
      <c r="AG68" s="7" t="s">
        <v>257</v>
      </c>
      <c r="AH68" s="3"/>
      <c r="AI68" s="3">
        <v>10000</v>
      </c>
      <c r="AJ68" s="3">
        <v>10000</v>
      </c>
      <c r="AK68" s="1" t="s">
        <v>415</v>
      </c>
      <c r="AL68" s="3" t="s">
        <v>78</v>
      </c>
      <c r="AM68" s="12"/>
      <c r="AN68" s="12" t="s">
        <v>258</v>
      </c>
    </row>
    <row r="69" spans="1:41" x14ac:dyDescent="0.45">
      <c r="A69" s="3">
        <v>68</v>
      </c>
      <c r="B69" s="3" t="s">
        <v>323</v>
      </c>
      <c r="C69" s="10">
        <v>45866</v>
      </c>
      <c r="D69" s="3" t="s">
        <v>259</v>
      </c>
      <c r="E69" s="3" t="s">
        <v>4</v>
      </c>
      <c r="F69" s="3" t="s">
        <v>426</v>
      </c>
      <c r="G69" s="7"/>
      <c r="H69" s="1" t="s">
        <v>340</v>
      </c>
      <c r="I69" s="3" t="s">
        <v>358</v>
      </c>
      <c r="J69" s="3"/>
      <c r="K69" s="3" t="s">
        <v>42</v>
      </c>
      <c r="L69" s="3"/>
      <c r="M69" s="3"/>
      <c r="N69" s="3">
        <v>1.7</v>
      </c>
      <c r="O69" s="3">
        <v>1.7</v>
      </c>
      <c r="P69" s="3">
        <v>1.7</v>
      </c>
      <c r="Q69" s="3">
        <v>3.1</v>
      </c>
      <c r="R69" s="3">
        <v>3.1</v>
      </c>
      <c r="S69" s="3">
        <v>3.1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7"/>
      <c r="AH69" s="3"/>
      <c r="AI69" s="3">
        <v>800</v>
      </c>
      <c r="AJ69" s="3">
        <v>3750</v>
      </c>
      <c r="AK69" s="1" t="s">
        <v>415</v>
      </c>
      <c r="AL69" s="7" t="s">
        <v>260</v>
      </c>
      <c r="AM69" s="3"/>
      <c r="AN69" s="3" t="s">
        <v>352</v>
      </c>
    </row>
    <row r="70" spans="1:41" x14ac:dyDescent="0.45">
      <c r="A70" s="3">
        <v>70</v>
      </c>
      <c r="B70" s="3" t="s">
        <v>323</v>
      </c>
      <c r="C70" s="10">
        <v>45867</v>
      </c>
      <c r="D70" s="3" t="s">
        <v>90</v>
      </c>
      <c r="E70" s="3" t="s">
        <v>4</v>
      </c>
      <c r="F70" s="3" t="s">
        <v>2</v>
      </c>
      <c r="G70" s="7"/>
      <c r="H70" s="3" t="s">
        <v>346</v>
      </c>
      <c r="I70" s="3" t="s">
        <v>67</v>
      </c>
      <c r="J70" s="3" t="s">
        <v>261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 t="s">
        <v>384</v>
      </c>
      <c r="AD70" s="3" t="s">
        <v>321</v>
      </c>
      <c r="AE70" s="3">
        <v>40</v>
      </c>
      <c r="AF70" s="3"/>
      <c r="AG70" s="7" t="s">
        <v>262</v>
      </c>
      <c r="AH70" s="3"/>
      <c r="AI70" s="3">
        <v>100000</v>
      </c>
      <c r="AJ70" s="3">
        <v>100000</v>
      </c>
      <c r="AK70" s="1" t="s">
        <v>415</v>
      </c>
      <c r="AL70" s="3" t="s">
        <v>84</v>
      </c>
      <c r="AM70" s="3"/>
      <c r="AN70" s="3" t="s">
        <v>329</v>
      </c>
    </row>
    <row r="71" spans="1:41" x14ac:dyDescent="0.45">
      <c r="A71" s="3">
        <v>71</v>
      </c>
      <c r="B71" s="3" t="s">
        <v>323</v>
      </c>
      <c r="C71" s="10">
        <v>45868</v>
      </c>
      <c r="D71" s="3" t="s">
        <v>27</v>
      </c>
      <c r="E71" s="3" t="s">
        <v>7</v>
      </c>
      <c r="F71" s="3" t="s">
        <v>424</v>
      </c>
      <c r="G71" s="7"/>
      <c r="H71" s="1" t="s">
        <v>340</v>
      </c>
      <c r="I71" s="1" t="s">
        <v>64</v>
      </c>
      <c r="J71" s="3" t="s">
        <v>263</v>
      </c>
      <c r="K71" s="3"/>
      <c r="L71" s="3"/>
      <c r="M71" s="3"/>
      <c r="N71" s="3">
        <v>7.5</v>
      </c>
      <c r="O71" s="3">
        <v>7.5</v>
      </c>
      <c r="P71" s="3">
        <v>7.5</v>
      </c>
      <c r="Q71" s="3"/>
      <c r="R71" s="3"/>
      <c r="S71" s="3"/>
      <c r="T71" s="3"/>
      <c r="U71" s="3"/>
      <c r="V71" s="3"/>
      <c r="W71" s="3">
        <v>0.91800000000000004</v>
      </c>
      <c r="X71" s="3">
        <v>0.91800000000000004</v>
      </c>
      <c r="Y71" s="3"/>
      <c r="Z71" s="3">
        <v>0.91800000000000004</v>
      </c>
      <c r="AA71" s="3"/>
      <c r="AB71" s="3"/>
      <c r="AC71" s="3"/>
      <c r="AD71" s="3"/>
      <c r="AE71" s="3"/>
      <c r="AF71" s="3"/>
      <c r="AG71" s="7"/>
      <c r="AH71" s="3"/>
      <c r="AI71" s="3"/>
      <c r="AJ71" s="3"/>
      <c r="AK71" s="3"/>
      <c r="AL71" s="3"/>
      <c r="AM71" s="3"/>
      <c r="AN71" s="3" t="s">
        <v>264</v>
      </c>
    </row>
    <row r="72" spans="1:41" x14ac:dyDescent="0.45">
      <c r="A72" s="3">
        <v>72</v>
      </c>
      <c r="B72" s="3" t="s">
        <v>323</v>
      </c>
      <c r="C72" s="10">
        <v>45870</v>
      </c>
      <c r="D72" s="3" t="s">
        <v>265</v>
      </c>
      <c r="E72" s="3" t="s">
        <v>24</v>
      </c>
      <c r="F72" s="3" t="s">
        <v>8</v>
      </c>
      <c r="G72" s="7"/>
      <c r="H72" s="1" t="s">
        <v>340</v>
      </c>
      <c r="I72" s="1" t="s">
        <v>64</v>
      </c>
      <c r="J72" s="3"/>
      <c r="K72" s="3" t="s">
        <v>45</v>
      </c>
      <c r="L72" s="3"/>
      <c r="M72" s="3"/>
      <c r="N72" s="3" t="str">
        <f t="shared" ref="N72" si="19">_xlfn.TEXTBEFORE(P72,"～")</f>
        <v>20</v>
      </c>
      <c r="O72" s="3" t="str">
        <f t="shared" ref="O72" si="20">_xlfn.TEXTAFTER(P72,"～")</f>
        <v>30</v>
      </c>
      <c r="P72" s="3" t="s">
        <v>58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7"/>
      <c r="AH72" s="3"/>
      <c r="AI72" s="3">
        <v>10000</v>
      </c>
      <c r="AJ72" s="3">
        <v>10000</v>
      </c>
      <c r="AK72" s="1" t="s">
        <v>415</v>
      </c>
      <c r="AL72" s="3" t="s">
        <v>78</v>
      </c>
      <c r="AM72" s="3"/>
      <c r="AN72" s="3" t="s">
        <v>369</v>
      </c>
      <c r="AO72" s="26"/>
    </row>
    <row r="73" spans="1:41" x14ac:dyDescent="0.45">
      <c r="A73" s="3">
        <v>73</v>
      </c>
      <c r="B73" s="3" t="s">
        <v>323</v>
      </c>
      <c r="C73" s="10">
        <v>45870</v>
      </c>
      <c r="D73" s="3" t="s">
        <v>265</v>
      </c>
      <c r="E73" s="3" t="s">
        <v>24</v>
      </c>
      <c r="F73" s="3" t="s">
        <v>73</v>
      </c>
      <c r="G73" s="7"/>
      <c r="H73" s="1" t="s">
        <v>340</v>
      </c>
      <c r="I73" s="1" t="s">
        <v>64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7"/>
      <c r="AH73" s="3"/>
      <c r="AI73" s="3">
        <v>1000</v>
      </c>
      <c r="AJ73" s="3">
        <v>1000</v>
      </c>
      <c r="AK73" s="1" t="s">
        <v>415</v>
      </c>
      <c r="AL73" s="3" t="s">
        <v>266</v>
      </c>
      <c r="AM73" s="3"/>
      <c r="AN73" s="3" t="s">
        <v>368</v>
      </c>
    </row>
    <row r="74" spans="1:41" x14ac:dyDescent="0.45">
      <c r="A74" s="3">
        <v>69</v>
      </c>
      <c r="B74" s="3" t="s">
        <v>323</v>
      </c>
      <c r="C74" s="10">
        <v>45866</v>
      </c>
      <c r="D74" s="3" t="s">
        <v>259</v>
      </c>
      <c r="E74" s="3" t="s">
        <v>4</v>
      </c>
      <c r="F74" s="3" t="s">
        <v>23</v>
      </c>
      <c r="G74" s="7"/>
      <c r="H74" s="3"/>
      <c r="I74" s="3" t="s">
        <v>358</v>
      </c>
      <c r="J74" s="3"/>
      <c r="K74" s="3" t="s">
        <v>42</v>
      </c>
      <c r="L74" s="3"/>
      <c r="M74" s="3"/>
      <c r="N74" s="3">
        <v>19</v>
      </c>
      <c r="O74" s="3">
        <v>20</v>
      </c>
      <c r="P74" s="3" t="s">
        <v>50</v>
      </c>
      <c r="Q74" s="3">
        <v>19</v>
      </c>
      <c r="R74" s="3">
        <v>21</v>
      </c>
      <c r="S74" s="3" t="s">
        <v>50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7"/>
      <c r="AH74" s="3"/>
      <c r="AI74" s="3">
        <v>800</v>
      </c>
      <c r="AJ74" s="3">
        <v>3750</v>
      </c>
      <c r="AK74" s="1" t="s">
        <v>415</v>
      </c>
      <c r="AL74" s="7" t="s">
        <v>260</v>
      </c>
      <c r="AM74" s="3"/>
      <c r="AN74" s="3" t="s">
        <v>353</v>
      </c>
    </row>
    <row r="75" spans="1:41" x14ac:dyDescent="0.45">
      <c r="A75" s="3">
        <v>74</v>
      </c>
      <c r="B75" s="3" t="s">
        <v>323</v>
      </c>
      <c r="C75" s="10">
        <v>45887</v>
      </c>
      <c r="D75" s="3" t="s">
        <v>267</v>
      </c>
      <c r="E75" s="3" t="s">
        <v>4</v>
      </c>
      <c r="F75" s="3" t="s">
        <v>23</v>
      </c>
      <c r="G75" s="7"/>
      <c r="H75" s="1" t="s">
        <v>340</v>
      </c>
      <c r="I75" s="3" t="s">
        <v>67</v>
      </c>
      <c r="J75" s="3" t="s">
        <v>102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7"/>
      <c r="AH75" s="3"/>
      <c r="AI75" s="3">
        <v>6000</v>
      </c>
      <c r="AJ75" s="3">
        <v>6000</v>
      </c>
      <c r="AK75" s="3" t="s">
        <v>416</v>
      </c>
      <c r="AL75" s="3"/>
      <c r="AM75" s="3" t="s">
        <v>268</v>
      </c>
      <c r="AN75" s="3" t="s">
        <v>338</v>
      </c>
    </row>
    <row r="76" spans="1:41" x14ac:dyDescent="0.45">
      <c r="A76" s="3">
        <v>75</v>
      </c>
      <c r="B76" s="3" t="s">
        <v>323</v>
      </c>
      <c r="C76" s="10">
        <v>45887</v>
      </c>
      <c r="D76" s="3" t="s">
        <v>94</v>
      </c>
      <c r="E76" s="3" t="s">
        <v>4</v>
      </c>
      <c r="F76" s="3" t="s">
        <v>427</v>
      </c>
      <c r="G76" s="7"/>
      <c r="H76" s="3" t="s">
        <v>346</v>
      </c>
      <c r="I76" s="1" t="s">
        <v>64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7"/>
      <c r="AH76" s="3"/>
      <c r="AI76" s="3">
        <v>13000</v>
      </c>
      <c r="AJ76" s="3">
        <v>13000</v>
      </c>
      <c r="AK76" s="1" t="s">
        <v>415</v>
      </c>
      <c r="AL76" s="3" t="s">
        <v>269</v>
      </c>
      <c r="AM76" s="3"/>
      <c r="AN76" s="3" t="s">
        <v>270</v>
      </c>
    </row>
    <row r="77" spans="1:41" x14ac:dyDescent="0.45">
      <c r="A77" s="3">
        <v>76</v>
      </c>
      <c r="B77" s="3" t="s">
        <v>323</v>
      </c>
      <c r="C77" s="10">
        <v>45905</v>
      </c>
      <c r="D77" s="3" t="s">
        <v>271</v>
      </c>
      <c r="E77" s="3" t="s">
        <v>12</v>
      </c>
      <c r="F77" s="3" t="s">
        <v>327</v>
      </c>
      <c r="G77" s="7"/>
      <c r="H77" s="3" t="s">
        <v>346</v>
      </c>
      <c r="I77" s="1" t="s">
        <v>64</v>
      </c>
      <c r="J77" s="3"/>
      <c r="K77" s="3" t="s">
        <v>45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7"/>
      <c r="AH77" s="3"/>
      <c r="AI77" s="3">
        <v>1000</v>
      </c>
      <c r="AJ77" s="3">
        <v>1000</v>
      </c>
      <c r="AK77" s="1" t="s">
        <v>415</v>
      </c>
      <c r="AL77" s="3" t="s">
        <v>101</v>
      </c>
      <c r="AM77" s="13"/>
      <c r="AN77" s="13" t="s">
        <v>328</v>
      </c>
    </row>
    <row r="78" spans="1:41" x14ac:dyDescent="0.45">
      <c r="A78" s="3">
        <v>77</v>
      </c>
      <c r="B78" s="3" t="s">
        <v>323</v>
      </c>
      <c r="C78" s="10">
        <v>45944</v>
      </c>
      <c r="D78" s="3" t="s">
        <v>272</v>
      </c>
      <c r="E78" s="3" t="s">
        <v>31</v>
      </c>
      <c r="F78" s="3" t="s">
        <v>8</v>
      </c>
      <c r="G78" s="7" t="s">
        <v>9</v>
      </c>
      <c r="H78" s="1" t="s">
        <v>340</v>
      </c>
      <c r="I78" s="1" t="s">
        <v>64</v>
      </c>
      <c r="J78" s="3" t="s">
        <v>273</v>
      </c>
      <c r="K78" s="3"/>
      <c r="L78" s="3"/>
      <c r="M78" s="3"/>
      <c r="N78" s="3" t="str">
        <f t="shared" ref="N78:N80" si="21">_xlfn.TEXTBEFORE(P78,"～")</f>
        <v>４</v>
      </c>
      <c r="O78" s="3" t="str">
        <f t="shared" ref="O78:O80" si="22">_xlfn.TEXTAFTER(P78,"～")</f>
        <v>10</v>
      </c>
      <c r="P78" s="3" t="s">
        <v>274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7"/>
      <c r="AC78" s="7"/>
      <c r="AD78" s="7"/>
      <c r="AE78" s="7"/>
      <c r="AF78" s="3"/>
      <c r="AG78" s="3"/>
      <c r="AH78" s="3"/>
      <c r="AI78" s="15">
        <v>10000</v>
      </c>
      <c r="AJ78" s="15">
        <v>10000</v>
      </c>
      <c r="AK78" s="1" t="s">
        <v>415</v>
      </c>
      <c r="AL78" s="15" t="s">
        <v>275</v>
      </c>
      <c r="AM78" s="12"/>
      <c r="AN78" s="12" t="s">
        <v>276</v>
      </c>
    </row>
    <row r="79" spans="1:41" x14ac:dyDescent="0.45">
      <c r="A79" s="3">
        <v>78</v>
      </c>
      <c r="B79" s="3" t="s">
        <v>323</v>
      </c>
      <c r="C79" s="10">
        <v>45944</v>
      </c>
      <c r="D79" s="3" t="s">
        <v>272</v>
      </c>
      <c r="E79" s="3" t="s">
        <v>31</v>
      </c>
      <c r="F79" s="3" t="s">
        <v>29</v>
      </c>
      <c r="G79" s="7"/>
      <c r="H79" s="3" t="s">
        <v>69</v>
      </c>
      <c r="I79" s="1" t="s">
        <v>64</v>
      </c>
      <c r="J79" s="3" t="s">
        <v>273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7"/>
      <c r="AH79" s="3"/>
      <c r="AI79" s="3"/>
      <c r="AJ79" s="3"/>
      <c r="AK79" s="3"/>
      <c r="AL79" s="3"/>
      <c r="AM79" s="3"/>
      <c r="AN79" s="3" t="s">
        <v>364</v>
      </c>
    </row>
    <row r="80" spans="1:41" x14ac:dyDescent="0.45">
      <c r="A80" s="3">
        <v>79</v>
      </c>
      <c r="B80" s="3" t="s">
        <v>323</v>
      </c>
      <c r="C80" s="10">
        <v>45947</v>
      </c>
      <c r="D80" s="3" t="s">
        <v>277</v>
      </c>
      <c r="E80" s="3" t="s">
        <v>31</v>
      </c>
      <c r="F80" s="3" t="s">
        <v>14</v>
      </c>
      <c r="G80" s="7"/>
      <c r="H80" s="1" t="s">
        <v>340</v>
      </c>
      <c r="I80" s="1" t="s">
        <v>64</v>
      </c>
      <c r="J80" s="3" t="s">
        <v>278</v>
      </c>
      <c r="K80" s="3"/>
      <c r="L80" s="3"/>
      <c r="M80" s="3"/>
      <c r="N80" s="3" t="str">
        <f t="shared" si="21"/>
        <v>15</v>
      </c>
      <c r="O80" s="3" t="str">
        <f t="shared" si="22"/>
        <v>20</v>
      </c>
      <c r="P80" s="3" t="s">
        <v>210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7"/>
      <c r="AH80" s="3"/>
      <c r="AI80" s="3"/>
      <c r="AJ80" s="3"/>
      <c r="AK80" s="3"/>
      <c r="AL80" s="3"/>
      <c r="AM80" s="3"/>
      <c r="AN80" s="3"/>
    </row>
    <row r="81" spans="1:40" x14ac:dyDescent="0.45">
      <c r="A81" s="3">
        <v>80</v>
      </c>
      <c r="B81" s="3" t="s">
        <v>323</v>
      </c>
      <c r="C81" s="10">
        <v>45950</v>
      </c>
      <c r="D81" s="3" t="s">
        <v>272</v>
      </c>
      <c r="E81" s="3" t="s">
        <v>31</v>
      </c>
      <c r="F81" s="3" t="s">
        <v>427</v>
      </c>
      <c r="G81" s="7"/>
      <c r="H81" s="3" t="s">
        <v>69</v>
      </c>
      <c r="I81" s="1" t="s">
        <v>64</v>
      </c>
      <c r="J81" s="3" t="s">
        <v>273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7"/>
      <c r="AH81" s="3"/>
      <c r="AI81" s="3"/>
      <c r="AJ81" s="3"/>
      <c r="AK81" s="3"/>
      <c r="AL81" s="3"/>
      <c r="AM81" s="3"/>
      <c r="AN81" s="3"/>
    </row>
    <row r="82" spans="1:40" x14ac:dyDescent="0.45">
      <c r="A82" s="3">
        <v>81</v>
      </c>
      <c r="B82" s="3" t="s">
        <v>323</v>
      </c>
      <c r="C82" s="10">
        <v>45951</v>
      </c>
      <c r="D82" s="3" t="s">
        <v>279</v>
      </c>
      <c r="E82" s="3" t="s">
        <v>54</v>
      </c>
      <c r="F82" s="3" t="s">
        <v>73</v>
      </c>
      <c r="G82" s="7" t="s">
        <v>334</v>
      </c>
      <c r="H82" s="1" t="s">
        <v>340</v>
      </c>
      <c r="I82" s="3" t="s">
        <v>358</v>
      </c>
      <c r="J82" s="3" t="s">
        <v>273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7"/>
      <c r="AH82" s="3"/>
      <c r="AI82" s="3"/>
      <c r="AJ82" s="3"/>
      <c r="AK82" s="3"/>
      <c r="AL82" s="3"/>
      <c r="AM82" s="3"/>
      <c r="AN82" s="3" t="s">
        <v>354</v>
      </c>
    </row>
    <row r="83" spans="1:40" x14ac:dyDescent="0.45">
      <c r="A83" s="3">
        <v>82</v>
      </c>
      <c r="B83" s="3" t="s">
        <v>323</v>
      </c>
      <c r="C83" s="10">
        <v>45966</v>
      </c>
      <c r="D83" s="3" t="s">
        <v>30</v>
      </c>
      <c r="E83" s="3" t="s">
        <v>12</v>
      </c>
      <c r="F83" s="3" t="s">
        <v>81</v>
      </c>
      <c r="G83" s="7"/>
      <c r="H83" s="3" t="s">
        <v>346</v>
      </c>
      <c r="I83" s="3" t="s">
        <v>70</v>
      </c>
      <c r="J83" s="3"/>
      <c r="K83" s="3" t="s">
        <v>45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 t="s">
        <v>384</v>
      </c>
      <c r="AD83" s="3" t="s">
        <v>408</v>
      </c>
      <c r="AE83" s="3">
        <v>85</v>
      </c>
      <c r="AF83" s="3">
        <v>90</v>
      </c>
      <c r="AG83" s="14" t="s">
        <v>407</v>
      </c>
      <c r="AH83" s="3"/>
      <c r="AI83" s="3">
        <v>5000</v>
      </c>
      <c r="AJ83" s="3">
        <v>10000</v>
      </c>
      <c r="AK83" s="1" t="s">
        <v>415</v>
      </c>
      <c r="AL83" s="3" t="s">
        <v>87</v>
      </c>
      <c r="AM83" s="3"/>
      <c r="AN83" s="3" t="s">
        <v>345</v>
      </c>
    </row>
    <row r="84" spans="1:40" x14ac:dyDescent="0.45">
      <c r="A84" s="3">
        <v>83</v>
      </c>
      <c r="B84" s="3" t="s">
        <v>323</v>
      </c>
      <c r="C84" s="10">
        <v>45974</v>
      </c>
      <c r="D84" s="3" t="s">
        <v>105</v>
      </c>
      <c r="E84" s="3" t="s">
        <v>5</v>
      </c>
      <c r="F84" s="3" t="s">
        <v>8</v>
      </c>
      <c r="G84" s="7"/>
      <c r="H84" s="1" t="s">
        <v>340</v>
      </c>
      <c r="I84" s="1" t="s">
        <v>64</v>
      </c>
      <c r="J84" s="3" t="s">
        <v>273</v>
      </c>
      <c r="K84" s="3" t="s">
        <v>45</v>
      </c>
      <c r="L84" s="3"/>
      <c r="M84" s="3"/>
      <c r="N84" s="3" t="str">
        <f t="shared" ref="N84:N86" si="23">_xlfn.TEXTBEFORE(P84,"～")</f>
        <v>10</v>
      </c>
      <c r="O84" s="3" t="str">
        <f t="shared" ref="O84:O86" si="24">_xlfn.TEXTAFTER(P84,"～")</f>
        <v>20</v>
      </c>
      <c r="P84" s="3" t="s">
        <v>280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 t="s">
        <v>384</v>
      </c>
      <c r="AD84" s="3" t="s">
        <v>409</v>
      </c>
      <c r="AE84" s="3"/>
      <c r="AF84" s="3"/>
      <c r="AG84" s="7" t="s">
        <v>281</v>
      </c>
      <c r="AH84" s="3"/>
      <c r="AI84" s="3"/>
      <c r="AJ84" s="3"/>
      <c r="AK84" s="3"/>
      <c r="AL84" s="3"/>
      <c r="AM84" s="3"/>
      <c r="AN84" s="3" t="s">
        <v>282</v>
      </c>
    </row>
    <row r="85" spans="1:40" x14ac:dyDescent="0.45">
      <c r="A85" s="3">
        <v>84</v>
      </c>
      <c r="B85" s="3" t="s">
        <v>323</v>
      </c>
      <c r="C85" s="10">
        <v>45974</v>
      </c>
      <c r="D85" s="3" t="s">
        <v>105</v>
      </c>
      <c r="E85" s="3" t="s">
        <v>5</v>
      </c>
      <c r="F85" s="3" t="s">
        <v>424</v>
      </c>
      <c r="G85" s="7"/>
      <c r="H85" s="1" t="s">
        <v>340</v>
      </c>
      <c r="I85" s="1" t="s">
        <v>64</v>
      </c>
      <c r="J85" s="3" t="s">
        <v>273</v>
      </c>
      <c r="K85" s="3" t="s">
        <v>45</v>
      </c>
      <c r="L85" s="3"/>
      <c r="M85" s="3"/>
      <c r="N85" s="3" t="str">
        <f t="shared" si="23"/>
        <v>10</v>
      </c>
      <c r="O85" s="3" t="str">
        <f t="shared" si="24"/>
        <v>20</v>
      </c>
      <c r="P85" s="3" t="s">
        <v>280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 t="s">
        <v>384</v>
      </c>
      <c r="AD85" s="3" t="s">
        <v>409</v>
      </c>
      <c r="AE85" s="3"/>
      <c r="AF85" s="3"/>
      <c r="AG85" s="7" t="s">
        <v>281</v>
      </c>
      <c r="AH85" s="3"/>
      <c r="AI85" s="3"/>
      <c r="AJ85" s="3"/>
      <c r="AK85" s="3"/>
      <c r="AL85" s="3"/>
      <c r="AM85" s="3"/>
      <c r="AN85" s="3" t="s">
        <v>282</v>
      </c>
    </row>
    <row r="86" spans="1:40" x14ac:dyDescent="0.45">
      <c r="A86" s="3">
        <v>85</v>
      </c>
      <c r="B86" s="3" t="s">
        <v>323</v>
      </c>
      <c r="C86" s="10">
        <v>45974</v>
      </c>
      <c r="D86" s="3" t="s">
        <v>105</v>
      </c>
      <c r="E86" s="3" t="s">
        <v>5</v>
      </c>
      <c r="F86" s="1" t="s">
        <v>425</v>
      </c>
      <c r="G86" s="6"/>
      <c r="H86" s="1" t="s">
        <v>340</v>
      </c>
      <c r="I86" s="1" t="s">
        <v>64</v>
      </c>
      <c r="J86" s="3" t="s">
        <v>273</v>
      </c>
      <c r="K86" s="3" t="s">
        <v>45</v>
      </c>
      <c r="L86" s="3"/>
      <c r="M86" s="3"/>
      <c r="N86" s="3" t="str">
        <f t="shared" si="23"/>
        <v>10</v>
      </c>
      <c r="O86" s="3" t="str">
        <f t="shared" si="24"/>
        <v>20</v>
      </c>
      <c r="P86" s="3" t="s">
        <v>280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 t="s">
        <v>384</v>
      </c>
      <c r="AD86" s="3" t="s">
        <v>409</v>
      </c>
      <c r="AE86" s="3"/>
      <c r="AF86" s="3"/>
      <c r="AG86" s="7" t="s">
        <v>397</v>
      </c>
      <c r="AH86" s="3"/>
      <c r="AI86" s="3"/>
      <c r="AJ86" s="3"/>
      <c r="AK86" s="3"/>
      <c r="AL86" s="3"/>
      <c r="AM86" s="3"/>
      <c r="AN86" s="3" t="s">
        <v>282</v>
      </c>
    </row>
    <row r="87" spans="1:40" x14ac:dyDescent="0.45">
      <c r="A87" s="3">
        <v>86</v>
      </c>
      <c r="B87" s="3" t="s">
        <v>323</v>
      </c>
      <c r="C87" s="10">
        <v>45980</v>
      </c>
      <c r="D87" s="3" t="s">
        <v>35</v>
      </c>
      <c r="E87" s="3" t="s">
        <v>5</v>
      </c>
      <c r="F87" s="3" t="s">
        <v>8</v>
      </c>
      <c r="G87" s="7"/>
      <c r="H87" s="1" t="s">
        <v>340</v>
      </c>
      <c r="I87" s="3" t="s">
        <v>358</v>
      </c>
      <c r="J87" s="3" t="s">
        <v>273</v>
      </c>
      <c r="K87" s="3" t="s">
        <v>45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7"/>
      <c r="AH87" s="3"/>
      <c r="AI87" s="3">
        <v>10000</v>
      </c>
      <c r="AJ87" s="3">
        <v>10000</v>
      </c>
      <c r="AK87" s="1" t="s">
        <v>415</v>
      </c>
      <c r="AL87" s="3" t="s">
        <v>78</v>
      </c>
      <c r="AM87" s="13"/>
      <c r="AN87" s="13" t="s">
        <v>355</v>
      </c>
    </row>
    <row r="88" spans="1:40" x14ac:dyDescent="0.45">
      <c r="A88" s="3">
        <v>87</v>
      </c>
      <c r="B88" s="3" t="s">
        <v>323</v>
      </c>
      <c r="C88" s="10">
        <v>45986</v>
      </c>
      <c r="D88" s="3" t="s">
        <v>283</v>
      </c>
      <c r="E88" s="3" t="s">
        <v>4</v>
      </c>
      <c r="F88" s="3" t="s">
        <v>2</v>
      </c>
      <c r="G88" s="7"/>
      <c r="H88" s="3" t="s">
        <v>346</v>
      </c>
      <c r="I88" s="3" t="s">
        <v>67</v>
      </c>
      <c r="J88" s="3" t="s">
        <v>284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7"/>
      <c r="AC88" s="7"/>
      <c r="AD88" s="7"/>
      <c r="AE88" s="7"/>
      <c r="AF88" s="3"/>
      <c r="AG88" s="3"/>
      <c r="AH88" s="3"/>
      <c r="AI88" s="15">
        <v>10000</v>
      </c>
      <c r="AJ88" s="15">
        <v>13000</v>
      </c>
      <c r="AK88" s="1" t="s">
        <v>415</v>
      </c>
      <c r="AL88" s="15" t="s">
        <v>285</v>
      </c>
      <c r="AM88" s="12"/>
      <c r="AN88" s="12" t="s">
        <v>286</v>
      </c>
    </row>
    <row r="89" spans="1:40" x14ac:dyDescent="0.45">
      <c r="A89" s="3">
        <v>88</v>
      </c>
      <c r="B89" s="3" t="s">
        <v>323</v>
      </c>
      <c r="C89" s="10">
        <v>45988</v>
      </c>
      <c r="D89" s="3" t="s">
        <v>287</v>
      </c>
      <c r="E89" s="3" t="s">
        <v>4</v>
      </c>
      <c r="F89" s="3" t="s">
        <v>2</v>
      </c>
      <c r="G89" s="7"/>
      <c r="H89" s="3" t="s">
        <v>66</v>
      </c>
      <c r="I89" s="1" t="s">
        <v>64</v>
      </c>
      <c r="J89" s="3"/>
      <c r="K89" s="3"/>
      <c r="L89" s="3" t="s">
        <v>28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>
        <v>1</v>
      </c>
      <c r="X89" s="3">
        <v>1</v>
      </c>
      <c r="Y89" s="3"/>
      <c r="Z89" s="3">
        <v>1</v>
      </c>
      <c r="AA89" s="3"/>
      <c r="AB89" s="3"/>
      <c r="AC89" s="3" t="s">
        <v>384</v>
      </c>
      <c r="AD89" s="3" t="s">
        <v>396</v>
      </c>
      <c r="AE89" s="3">
        <v>92</v>
      </c>
      <c r="AF89" s="3">
        <v>92</v>
      </c>
      <c r="AG89" s="14" t="s">
        <v>288</v>
      </c>
      <c r="AH89" s="3"/>
      <c r="AI89" s="3">
        <v>120000</v>
      </c>
      <c r="AJ89" s="3">
        <v>120000</v>
      </c>
      <c r="AK89" s="1" t="s">
        <v>415</v>
      </c>
      <c r="AL89" s="3" t="s">
        <v>289</v>
      </c>
      <c r="AM89" s="3"/>
      <c r="AN89" s="3" t="s">
        <v>290</v>
      </c>
    </row>
    <row r="90" spans="1:40" x14ac:dyDescent="0.45">
      <c r="A90" s="3">
        <v>89</v>
      </c>
      <c r="B90" s="3" t="s">
        <v>323</v>
      </c>
      <c r="C90" s="10">
        <v>45996</v>
      </c>
      <c r="D90" s="3" t="s">
        <v>291</v>
      </c>
      <c r="E90" s="3" t="s">
        <v>12</v>
      </c>
      <c r="F90" s="3" t="s">
        <v>8</v>
      </c>
      <c r="G90" s="7" t="s">
        <v>22</v>
      </c>
      <c r="H90" s="1" t="s">
        <v>340</v>
      </c>
      <c r="I90" s="1" t="s">
        <v>64</v>
      </c>
      <c r="J90" s="3"/>
      <c r="K90" s="3" t="s">
        <v>45</v>
      </c>
      <c r="L90" s="3" t="s">
        <v>359</v>
      </c>
      <c r="M90" s="3">
        <v>25</v>
      </c>
      <c r="N90" s="3">
        <v>25</v>
      </c>
      <c r="O90" s="3">
        <v>25</v>
      </c>
      <c r="P90" s="3" t="s">
        <v>292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 t="s">
        <v>384</v>
      </c>
      <c r="AD90" s="3" t="s">
        <v>395</v>
      </c>
      <c r="AE90" s="3">
        <v>120</v>
      </c>
      <c r="AF90" s="3">
        <v>120</v>
      </c>
      <c r="AG90" s="14" t="s">
        <v>394</v>
      </c>
      <c r="AH90" s="3"/>
      <c r="AI90" s="3">
        <v>5000</v>
      </c>
      <c r="AJ90" s="3">
        <v>5000</v>
      </c>
      <c r="AK90" s="1" t="s">
        <v>415</v>
      </c>
      <c r="AL90" s="3" t="s">
        <v>82</v>
      </c>
      <c r="AM90" s="3"/>
      <c r="AN90" s="3"/>
    </row>
    <row r="91" spans="1:40" x14ac:dyDescent="0.45">
      <c r="A91" s="3">
        <v>90</v>
      </c>
      <c r="B91" s="3" t="s">
        <v>323</v>
      </c>
      <c r="C91" s="10">
        <v>45999</v>
      </c>
      <c r="D91" s="3" t="s">
        <v>227</v>
      </c>
      <c r="E91" s="3" t="s">
        <v>4</v>
      </c>
      <c r="F91" s="3" t="s">
        <v>86</v>
      </c>
      <c r="G91" s="7"/>
      <c r="H91" s="1" t="s">
        <v>340</v>
      </c>
      <c r="I91" s="1" t="s">
        <v>64</v>
      </c>
      <c r="J91" s="3" t="s">
        <v>293</v>
      </c>
      <c r="K91" s="3"/>
      <c r="L91" s="3"/>
      <c r="M91" s="3"/>
      <c r="N91" s="3">
        <v>20</v>
      </c>
      <c r="O91" s="3">
        <v>20</v>
      </c>
      <c r="P91" s="3">
        <v>20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7"/>
      <c r="AH91" s="3"/>
      <c r="AI91" s="3">
        <v>10000</v>
      </c>
      <c r="AJ91" s="3">
        <v>10000</v>
      </c>
      <c r="AK91" s="1" t="s">
        <v>415</v>
      </c>
      <c r="AL91" s="3" t="s">
        <v>97</v>
      </c>
      <c r="AM91" s="3"/>
      <c r="AN91" s="3" t="s">
        <v>294</v>
      </c>
    </row>
    <row r="92" spans="1:40" x14ac:dyDescent="0.45">
      <c r="A92" s="3">
        <v>91</v>
      </c>
      <c r="B92" s="3" t="s">
        <v>323</v>
      </c>
      <c r="C92" s="10">
        <v>46013</v>
      </c>
      <c r="D92" s="3" t="s">
        <v>295</v>
      </c>
      <c r="E92" s="3" t="s">
        <v>24</v>
      </c>
      <c r="F92" s="3" t="s">
        <v>424</v>
      </c>
      <c r="G92" s="7"/>
      <c r="H92" s="1" t="s">
        <v>340</v>
      </c>
      <c r="I92" s="3" t="s">
        <v>70</v>
      </c>
      <c r="J92" s="3"/>
      <c r="K92" s="3" t="s">
        <v>45</v>
      </c>
      <c r="L92" s="3" t="s">
        <v>6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7"/>
      <c r="AH92" s="3"/>
      <c r="AI92" s="3">
        <v>13000</v>
      </c>
      <c r="AJ92" s="3">
        <v>13000</v>
      </c>
      <c r="AK92" s="1" t="s">
        <v>415</v>
      </c>
      <c r="AL92" s="3" t="s">
        <v>77</v>
      </c>
      <c r="AM92" s="3"/>
      <c r="AN92" s="3" t="s">
        <v>339</v>
      </c>
    </row>
    <row r="93" spans="1:40" x14ac:dyDescent="0.45">
      <c r="A93" s="3">
        <v>92</v>
      </c>
      <c r="B93" s="3" t="s">
        <v>323</v>
      </c>
      <c r="C93" s="10">
        <v>46013</v>
      </c>
      <c r="D93" s="3" t="s">
        <v>295</v>
      </c>
      <c r="E93" s="3" t="s">
        <v>24</v>
      </c>
      <c r="F93" s="3" t="s">
        <v>424</v>
      </c>
      <c r="G93" s="7"/>
      <c r="H93" s="1" t="s">
        <v>340</v>
      </c>
      <c r="I93" s="1" t="s">
        <v>64</v>
      </c>
      <c r="J93" s="3"/>
      <c r="K93" s="3" t="s">
        <v>45</v>
      </c>
      <c r="L93" s="3" t="s">
        <v>6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>
        <v>130</v>
      </c>
      <c r="AG93" s="7" t="s">
        <v>296</v>
      </c>
      <c r="AH93" s="3"/>
      <c r="AI93" s="3">
        <v>13000</v>
      </c>
      <c r="AJ93" s="3">
        <v>13000</v>
      </c>
      <c r="AK93" s="1" t="s">
        <v>415</v>
      </c>
      <c r="AL93" s="3" t="s">
        <v>77</v>
      </c>
      <c r="AM93" s="3"/>
      <c r="AN93" s="3" t="s">
        <v>297</v>
      </c>
    </row>
    <row r="94" spans="1:40" x14ac:dyDescent="0.45">
      <c r="A94" s="3">
        <v>93</v>
      </c>
      <c r="B94" s="3" t="s">
        <v>323</v>
      </c>
      <c r="C94" s="10">
        <v>46013</v>
      </c>
      <c r="D94" s="3" t="s">
        <v>295</v>
      </c>
      <c r="E94" s="3" t="s">
        <v>24</v>
      </c>
      <c r="F94" s="1" t="s">
        <v>425</v>
      </c>
      <c r="G94" s="6"/>
      <c r="H94" s="1" t="s">
        <v>340</v>
      </c>
      <c r="I94" s="1" t="s">
        <v>64</v>
      </c>
      <c r="J94" s="3"/>
      <c r="K94" s="3" t="s">
        <v>45</v>
      </c>
      <c r="L94" s="3" t="s">
        <v>6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129</v>
      </c>
      <c r="AG94" s="7" t="s">
        <v>298</v>
      </c>
      <c r="AH94" s="3"/>
      <c r="AI94" s="3">
        <v>13000</v>
      </c>
      <c r="AJ94" s="3">
        <v>13000</v>
      </c>
      <c r="AK94" s="1" t="s">
        <v>415</v>
      </c>
      <c r="AL94" s="3" t="s">
        <v>77</v>
      </c>
      <c r="AM94" s="3"/>
      <c r="AN94" s="3" t="s">
        <v>297</v>
      </c>
    </row>
    <row r="95" spans="1:40" x14ac:dyDescent="0.45">
      <c r="A95" s="3">
        <v>94</v>
      </c>
      <c r="B95" s="3" t="s">
        <v>323</v>
      </c>
      <c r="C95" s="10">
        <v>46013</v>
      </c>
      <c r="D95" s="3" t="s">
        <v>299</v>
      </c>
      <c r="E95" s="3" t="s">
        <v>12</v>
      </c>
      <c r="F95" s="3" t="s">
        <v>426</v>
      </c>
      <c r="G95" s="7"/>
      <c r="H95" s="1" t="s">
        <v>340</v>
      </c>
      <c r="I95" s="1" t="s">
        <v>64</v>
      </c>
      <c r="J95" s="3"/>
      <c r="K95" s="3" t="s">
        <v>45</v>
      </c>
      <c r="L95" s="3" t="s">
        <v>359</v>
      </c>
      <c r="M95" s="3">
        <v>25</v>
      </c>
      <c r="N95" s="3">
        <v>1</v>
      </c>
      <c r="O95" s="3">
        <v>5</v>
      </c>
      <c r="P95" s="3" t="s">
        <v>300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 t="s">
        <v>384</v>
      </c>
      <c r="AD95" s="3" t="s">
        <v>393</v>
      </c>
      <c r="AE95" s="3">
        <v>135</v>
      </c>
      <c r="AF95" s="3">
        <v>135</v>
      </c>
      <c r="AG95" s="7" t="s">
        <v>392</v>
      </c>
      <c r="AH95" s="3"/>
      <c r="AI95" s="3">
        <v>10000</v>
      </c>
      <c r="AJ95" s="3"/>
      <c r="AK95" s="1" t="s">
        <v>415</v>
      </c>
      <c r="AL95" s="3" t="s">
        <v>301</v>
      </c>
      <c r="AM95" s="3"/>
      <c r="AN95" s="3" t="s">
        <v>302</v>
      </c>
    </row>
    <row r="96" spans="1:40" x14ac:dyDescent="0.45">
      <c r="A96" s="3">
        <v>95</v>
      </c>
      <c r="B96" s="3" t="s">
        <v>323</v>
      </c>
      <c r="C96" s="10">
        <v>46036</v>
      </c>
      <c r="D96" s="3" t="s">
        <v>227</v>
      </c>
      <c r="E96" s="3" t="s">
        <v>4</v>
      </c>
      <c r="F96" s="3" t="s">
        <v>426</v>
      </c>
      <c r="G96" s="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7"/>
      <c r="AH96" s="3"/>
      <c r="AI96" s="3"/>
      <c r="AJ96" s="3"/>
      <c r="AK96" s="3"/>
      <c r="AL96" s="3"/>
      <c r="AM96" s="3"/>
      <c r="AN96" s="3"/>
    </row>
    <row r="97" spans="1:40" x14ac:dyDescent="0.45">
      <c r="A97" s="3">
        <v>96</v>
      </c>
      <c r="B97" s="3" t="s">
        <v>323</v>
      </c>
      <c r="C97" s="10">
        <v>46037</v>
      </c>
      <c r="D97" s="3" t="s">
        <v>303</v>
      </c>
      <c r="E97" s="3" t="s">
        <v>5</v>
      </c>
      <c r="F97" s="3" t="s">
        <v>426</v>
      </c>
      <c r="G97" s="7"/>
      <c r="H97" s="1" t="s">
        <v>340</v>
      </c>
      <c r="I97" s="1" t="s">
        <v>64</v>
      </c>
      <c r="J97" s="3"/>
      <c r="K97" s="3" t="s">
        <v>45</v>
      </c>
      <c r="L97" s="3" t="s">
        <v>359</v>
      </c>
      <c r="M97" s="3">
        <v>25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 t="s">
        <v>384</v>
      </c>
      <c r="AD97" s="7" t="s">
        <v>304</v>
      </c>
      <c r="AE97" s="3"/>
      <c r="AF97" s="3"/>
      <c r="AG97" s="7" t="s">
        <v>304</v>
      </c>
      <c r="AH97" s="3"/>
      <c r="AI97" s="3">
        <v>5000</v>
      </c>
      <c r="AJ97" s="3">
        <v>5000</v>
      </c>
      <c r="AK97" s="1" t="s">
        <v>415</v>
      </c>
      <c r="AL97" s="3" t="s">
        <v>100</v>
      </c>
      <c r="AM97" s="13"/>
      <c r="AN97" s="13" t="s">
        <v>363</v>
      </c>
    </row>
    <row r="98" spans="1:40" x14ac:dyDescent="0.45">
      <c r="A98" s="3">
        <v>97</v>
      </c>
      <c r="B98" s="3" t="s">
        <v>323</v>
      </c>
      <c r="C98" s="10">
        <v>46039</v>
      </c>
      <c r="D98" s="3" t="s">
        <v>16</v>
      </c>
      <c r="E98" s="3" t="s">
        <v>15</v>
      </c>
      <c r="F98" s="3" t="s">
        <v>73</v>
      </c>
      <c r="G98" s="7"/>
      <c r="H98" s="1" t="s">
        <v>340</v>
      </c>
      <c r="I98" s="3" t="s">
        <v>358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7"/>
      <c r="AC98" s="7"/>
      <c r="AD98" s="7"/>
      <c r="AE98" s="7"/>
      <c r="AF98" s="3"/>
      <c r="AG98" s="3"/>
      <c r="AH98" s="3"/>
      <c r="AI98" s="15">
        <v>5000</v>
      </c>
      <c r="AJ98" s="15">
        <v>5000</v>
      </c>
      <c r="AK98" s="1" t="s">
        <v>415</v>
      </c>
      <c r="AL98" s="15" t="s">
        <v>305</v>
      </c>
      <c r="AM98" s="12"/>
      <c r="AN98" s="12" t="s">
        <v>356</v>
      </c>
    </row>
    <row r="99" spans="1:40" x14ac:dyDescent="0.45">
      <c r="A99" s="3">
        <v>98</v>
      </c>
      <c r="B99" s="3" t="s">
        <v>323</v>
      </c>
      <c r="C99" s="10">
        <v>46065</v>
      </c>
      <c r="D99" s="3" t="s">
        <v>272</v>
      </c>
      <c r="E99" s="3" t="s">
        <v>31</v>
      </c>
      <c r="F99" s="3" t="s">
        <v>8</v>
      </c>
      <c r="G99" s="7"/>
      <c r="H99" s="3" t="s">
        <v>69</v>
      </c>
      <c r="I99" s="3" t="s">
        <v>358</v>
      </c>
      <c r="J99" s="3" t="s">
        <v>273</v>
      </c>
      <c r="K99" s="3"/>
      <c r="L99" s="3"/>
      <c r="M99" s="3"/>
      <c r="N99" s="3">
        <v>15</v>
      </c>
      <c r="O99" s="3">
        <v>15</v>
      </c>
      <c r="P99" s="3" t="s">
        <v>306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7"/>
      <c r="AH99" s="3"/>
      <c r="AI99" s="3">
        <v>10000</v>
      </c>
      <c r="AJ99" s="3">
        <v>10000</v>
      </c>
      <c r="AK99" s="1" t="s">
        <v>415</v>
      </c>
      <c r="AL99" s="3" t="s">
        <v>307</v>
      </c>
      <c r="AM99" s="3"/>
      <c r="AN99" s="3" t="s">
        <v>357</v>
      </c>
    </row>
    <row r="100" spans="1:40" x14ac:dyDescent="0.45">
      <c r="A100" s="3">
        <v>99</v>
      </c>
      <c r="B100" s="3" t="s">
        <v>323</v>
      </c>
      <c r="C100" s="10">
        <v>46065</v>
      </c>
      <c r="D100" s="3" t="s">
        <v>308</v>
      </c>
      <c r="E100" s="3" t="s">
        <v>31</v>
      </c>
      <c r="F100" s="3" t="s">
        <v>29</v>
      </c>
      <c r="G100" s="7"/>
      <c r="H100" s="3" t="s">
        <v>69</v>
      </c>
      <c r="I100" s="1" t="s">
        <v>64</v>
      </c>
      <c r="J100" s="3" t="s">
        <v>273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7"/>
      <c r="AH100" s="3"/>
      <c r="AI100" s="3">
        <v>5000</v>
      </c>
      <c r="AJ100" s="3">
        <v>10000</v>
      </c>
      <c r="AK100" s="1" t="s">
        <v>415</v>
      </c>
      <c r="AL100" s="3" t="s">
        <v>309</v>
      </c>
      <c r="AM100" s="3"/>
      <c r="AN100" s="3" t="s">
        <v>335</v>
      </c>
    </row>
    <row r="101" spans="1:40" x14ac:dyDescent="0.45">
      <c r="A101" s="3">
        <v>100</v>
      </c>
      <c r="B101" s="3" t="s">
        <v>323</v>
      </c>
      <c r="C101" s="10">
        <v>46090</v>
      </c>
      <c r="D101" s="3" t="s">
        <v>259</v>
      </c>
      <c r="E101" s="3" t="s">
        <v>4</v>
      </c>
      <c r="F101" s="3" t="s">
        <v>2</v>
      </c>
      <c r="G101" s="7" t="s">
        <v>25</v>
      </c>
      <c r="H101" s="1" t="s">
        <v>340</v>
      </c>
      <c r="I101" s="1" t="s">
        <v>64</v>
      </c>
      <c r="J101" s="3"/>
      <c r="K101" s="3"/>
      <c r="L101" s="3"/>
      <c r="M101" s="3"/>
      <c r="N101" s="3">
        <v>4</v>
      </c>
      <c r="O101" s="3">
        <v>11</v>
      </c>
      <c r="P101" s="3" t="s">
        <v>310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7"/>
      <c r="AH101" s="3"/>
      <c r="AI101" s="3">
        <v>25000</v>
      </c>
      <c r="AJ101" s="3"/>
      <c r="AK101" s="1" t="s">
        <v>415</v>
      </c>
      <c r="AL101" s="3" t="s">
        <v>311</v>
      </c>
      <c r="AM101" s="3"/>
      <c r="AN101" s="3" t="s">
        <v>312</v>
      </c>
    </row>
    <row r="102" spans="1:40" x14ac:dyDescent="0.45">
      <c r="A102" s="3">
        <v>101</v>
      </c>
      <c r="B102" s="3" t="s">
        <v>323</v>
      </c>
      <c r="C102" s="30">
        <v>46097</v>
      </c>
      <c r="D102" s="1" t="s">
        <v>419</v>
      </c>
      <c r="E102" s="1" t="s">
        <v>24</v>
      </c>
      <c r="F102" s="1" t="s">
        <v>8</v>
      </c>
      <c r="G102" s="1" t="s">
        <v>20</v>
      </c>
      <c r="H102" s="3" t="s">
        <v>69</v>
      </c>
      <c r="I102" s="1" t="s">
        <v>420</v>
      </c>
      <c r="J102" s="3"/>
      <c r="K102" s="3" t="s">
        <v>45</v>
      </c>
      <c r="L102" s="3"/>
      <c r="M102" s="3"/>
      <c r="N102" s="3"/>
      <c r="O102" s="3"/>
      <c r="P102" s="3"/>
      <c r="Q102" s="3">
        <v>7</v>
      </c>
      <c r="R102" s="3">
        <v>9</v>
      </c>
      <c r="S102" s="3"/>
      <c r="T102" s="3"/>
      <c r="U102" s="3"/>
      <c r="V102" s="3"/>
      <c r="W102" s="3"/>
      <c r="X102" s="3"/>
      <c r="Y102" s="1" t="s">
        <v>422</v>
      </c>
      <c r="Z102" s="3"/>
      <c r="AA102" s="3"/>
      <c r="AB102" s="3"/>
      <c r="AC102" s="3"/>
      <c r="AD102" s="3"/>
      <c r="AE102" s="3"/>
      <c r="AF102" s="3"/>
      <c r="AG102" s="7"/>
      <c r="AH102" s="3"/>
      <c r="AI102" s="3">
        <v>10000</v>
      </c>
      <c r="AJ102" s="3">
        <v>10000</v>
      </c>
      <c r="AK102" s="1" t="s">
        <v>415</v>
      </c>
      <c r="AL102" s="3"/>
      <c r="AM102" s="3"/>
    </row>
    <row r="103" spans="1:40" x14ac:dyDescent="0.45">
      <c r="A103" s="3">
        <v>102</v>
      </c>
      <c r="B103" s="3"/>
      <c r="C103" s="10"/>
      <c r="D103" s="3"/>
      <c r="E103" s="3"/>
      <c r="F103" s="3"/>
      <c r="G103" s="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7"/>
      <c r="AH103" s="3"/>
      <c r="AI103" s="3"/>
      <c r="AJ103" s="3"/>
      <c r="AK103" s="3"/>
      <c r="AL103" s="3"/>
      <c r="AM103" s="3"/>
      <c r="AN103" s="3"/>
    </row>
    <row r="104" spans="1:40" x14ac:dyDescent="0.45">
      <c r="A104" s="3">
        <v>103</v>
      </c>
      <c r="B104" s="3"/>
      <c r="C104" s="10"/>
      <c r="D104" s="3"/>
      <c r="E104" s="3"/>
      <c r="F104" s="3"/>
      <c r="G104" s="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7"/>
      <c r="AH104" s="3"/>
      <c r="AI104" s="3"/>
      <c r="AJ104" s="3"/>
      <c r="AK104" s="3"/>
      <c r="AL104" s="3"/>
      <c r="AM104" s="3"/>
      <c r="AN104" s="3"/>
    </row>
    <row r="105" spans="1:40" x14ac:dyDescent="0.45">
      <c r="A105" s="3">
        <v>104</v>
      </c>
      <c r="B105" s="3"/>
      <c r="C105" s="10"/>
      <c r="D105" s="3"/>
      <c r="E105" s="3"/>
      <c r="F105" s="3"/>
      <c r="G105" s="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7"/>
      <c r="AH105" s="3"/>
      <c r="AI105" s="3"/>
      <c r="AJ105" s="3"/>
      <c r="AK105" s="3"/>
      <c r="AL105" s="3"/>
      <c r="AM105" s="13"/>
      <c r="AN105" s="13"/>
    </row>
    <row r="106" spans="1:40" x14ac:dyDescent="0.45">
      <c r="A106" s="3">
        <v>105</v>
      </c>
      <c r="B106" s="3"/>
      <c r="C106" s="10"/>
      <c r="D106" s="3"/>
      <c r="E106" s="3"/>
      <c r="F106" s="3"/>
      <c r="G106" s="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7"/>
      <c r="AC106" s="7"/>
      <c r="AD106" s="7"/>
      <c r="AE106" s="7"/>
      <c r="AF106" s="3"/>
      <c r="AG106" s="3"/>
      <c r="AH106" s="3"/>
      <c r="AI106" s="15"/>
      <c r="AJ106" s="15"/>
      <c r="AK106" s="15"/>
      <c r="AL106" s="15"/>
      <c r="AM106" s="12"/>
      <c r="AN106" s="12"/>
    </row>
    <row r="107" spans="1:40" x14ac:dyDescent="0.45">
      <c r="A107" s="3">
        <v>106</v>
      </c>
      <c r="B107" s="3"/>
      <c r="C107" s="10"/>
      <c r="D107" s="3"/>
      <c r="E107" s="3"/>
      <c r="F107" s="3"/>
      <c r="G107" s="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7"/>
      <c r="AH107" s="3"/>
      <c r="AI107" s="3"/>
      <c r="AJ107" s="3"/>
      <c r="AK107" s="3"/>
      <c r="AL107" s="3"/>
      <c r="AM107" s="3"/>
      <c r="AN107" s="3"/>
    </row>
    <row r="108" spans="1:40" x14ac:dyDescent="0.45">
      <c r="A108" s="3">
        <v>107</v>
      </c>
      <c r="B108" s="3"/>
      <c r="C108" s="10"/>
      <c r="D108" s="3"/>
      <c r="E108" s="3"/>
      <c r="F108" s="3"/>
      <c r="G108" s="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7"/>
      <c r="AH108" s="3"/>
      <c r="AI108" s="3"/>
      <c r="AJ108" s="3"/>
      <c r="AK108" s="3"/>
      <c r="AL108" s="3"/>
      <c r="AM108" s="3"/>
      <c r="AN108" s="3"/>
    </row>
    <row r="109" spans="1:40" x14ac:dyDescent="0.45">
      <c r="A109" s="3">
        <v>108</v>
      </c>
      <c r="B109" s="3"/>
      <c r="C109" s="10"/>
      <c r="D109" s="3"/>
      <c r="E109" s="3"/>
      <c r="F109" s="3"/>
      <c r="G109" s="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7"/>
      <c r="AH109" s="3"/>
      <c r="AI109" s="3"/>
      <c r="AJ109" s="3"/>
      <c r="AK109" s="3"/>
      <c r="AL109" s="3"/>
      <c r="AM109" s="3"/>
      <c r="AN109" s="3"/>
    </row>
  </sheetData>
  <autoFilter ref="A1:AO109" xr:uid="{A72BB04A-F1D3-4606-B671-CABC5A98D89E}"/>
  <phoneticPr fontId="3"/>
  <conditionalFormatting sqref="A22:AJ22 A13:E21 H13:AJ21">
    <cfRule type="expression" dxfId="5" priority="1">
      <formula>$B13="c"</formula>
    </cfRule>
  </conditionalFormatting>
  <conditionalFormatting sqref="A2:AN2 AK3:AN22 A12:AE12 AG12:AJ12 A103:AN109 A102:B102 H102 J102:AM102 A3:AJ11 F13:G21 A23:AN101">
    <cfRule type="expression" dxfId="4" priority="9">
      <formula>$B2="c"</formula>
    </cfRule>
  </conditionalFormatting>
  <conditionalFormatting sqref="N1:O1">
    <cfRule type="expression" dxfId="3" priority="8">
      <formula>$B1="c"</formula>
    </cfRule>
  </conditionalFormatting>
  <conditionalFormatting sqref="Q1:R1">
    <cfRule type="expression" dxfId="2" priority="7">
      <formula>$B1="c"</formula>
    </cfRule>
  </conditionalFormatting>
  <conditionalFormatting sqref="U1:Y1">
    <cfRule type="expression" dxfId="1" priority="5">
      <formula>$B1="c"</formula>
    </cfRule>
  </conditionalFormatting>
  <conditionalFormatting sqref="AC1:AF1">
    <cfRule type="expression" dxfId="0" priority="3">
      <formula>$B1="c"</formula>
    </cfRule>
  </conditionalFormatting>
  <dataValidations count="1">
    <dataValidation imeMode="hiragana" allowBlank="1" showInputMessage="1" showErrorMessage="1" sqref="N1:O1 Q1:R1 U1:Y1 AC1:AF1" xr:uid="{ED43CD5F-70A2-4E48-8308-CBA8563809E5}"/>
  </dataValidations>
  <hyperlinks>
    <hyperlink ref="AG89" r:id="rId1" xr:uid="{32B4731D-2B49-41CD-8ABF-6A187305D95C}"/>
    <hyperlink ref="AN50" r:id="rId2" xr:uid="{53A7E7B7-D80C-40F7-82DB-6901CB59B50B}"/>
    <hyperlink ref="AG90" r:id="rId3" xr:uid="{E9E85A5F-AA8C-4CB6-93DE-E1D2A01F02D9}"/>
    <hyperlink ref="AG60" r:id="rId4" xr:uid="{F0A4D00E-DFBD-4F40-9AF0-CAF9559CB5DA}"/>
    <hyperlink ref="AG83" r:id="rId5" xr:uid="{6D010515-D646-4AFF-AC57-ACFDB2AE8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再生リサイクル需要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hayashi</dc:creator>
  <cp:keywords/>
  <dc:description/>
  <cp:lastModifiedBy>営業2課 林 道誠</cp:lastModifiedBy>
  <cp:revision/>
  <dcterms:created xsi:type="dcterms:W3CDTF">2023-06-05T02:24:03Z</dcterms:created>
  <dcterms:modified xsi:type="dcterms:W3CDTF">2026-03-19T02:56:10Z</dcterms:modified>
  <cp:category/>
  <cp:contentStatus/>
</cp:coreProperties>
</file>